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PO-PLE" sheetId="1" r:id="rId1"/>
    <sheet name="CFF - PL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<sst xmlns="http://schemas.openxmlformats.org/spreadsheetml/2006/main" count="4751" uniqueCount="1349">
  <si>
    <t>Nivel</t>
  </si>
  <si>
    <t>N° Macrosserviço / Serviço</t>
  </si>
  <si>
    <t>Fonte</t>
  </si>
  <si>
    <t>Código</t>
  </si>
  <si>
    <t>Descrição Macrosserviço / Serviço</t>
  </si>
  <si>
    <t>Qtd. (valor calculado)</t>
  </si>
  <si>
    <t>Und.</t>
  </si>
  <si>
    <t>Custo Unitário Referência</t>
  </si>
  <si>
    <t>Custo Unitário</t>
  </si>
  <si>
    <t>Preço Unitário (valor calculado)</t>
  </si>
  <si>
    <t>BDI</t>
  </si>
  <si>
    <t>Preço Total (valor calculado)</t>
  </si>
  <si>
    <t>Observação</t>
  </si>
  <si>
    <t>N° Evento</t>
  </si>
  <si>
    <t>Evento</t>
  </si>
  <si>
    <t>N° Frente de Obra</t>
  </si>
  <si>
    <t>Frente de Obra</t>
  </si>
  <si>
    <t>Qtd.</t>
  </si>
  <si>
    <t>Valor</t>
  </si>
  <si>
    <t>Macrosserviço</t>
  </si>
  <si>
    <t/>
  </si>
  <si>
    <t>CONSTRUÇÃO DE CRECHE PRÓ INFÂNCIA</t>
  </si>
  <si>
    <t>QUANT</t>
  </si>
  <si>
    <t>UNID</t>
  </si>
  <si>
    <t>VALOR UNIT. SEM BDI</t>
  </si>
  <si>
    <t>VALOR UNIT. COM BDI</t>
  </si>
  <si>
    <t>Serviço</t>
  </si>
  <si>
    <t>1.1</t>
  </si>
  <si>
    <t>SINAPI</t>
  </si>
  <si>
    <t>103689</t>
  </si>
  <si>
    <t>FORNECIMENTO E INSTALAÇÃO DE PLACA DE OBRA COM CHAPA GALVANIZADA E ESTRUTURA DE MADEIRA. AF_03/2022_PS</t>
  </si>
  <si>
    <t>M2</t>
  </si>
  <si>
    <t>1</t>
  </si>
  <si>
    <t>SERVIÇOS PRELIMINARES</t>
  </si>
  <si>
    <t>1.2</t>
  </si>
  <si>
    <t>98459</t>
  </si>
  <si>
    <t>TAPUME COM TELHA METÁLICA. AF_03/2024</t>
  </si>
  <si>
    <t>1.3</t>
  </si>
  <si>
    <t>101509</t>
  </si>
  <si>
    <t>ENTRADA DE ENERGIA ELÉTRICA, AÉREA, TRIFÁSICA, COM CAIXA DE EMBUTIR, CABO DE 10 MM2 E DISJUNTOR DIN 50A (NÃO INCLUSO O POSTE DE CONCRETO). AF_07/2020_PS</t>
  </si>
  <si>
    <t>UN</t>
  </si>
  <si>
    <t>1.4</t>
  </si>
  <si>
    <t>Outros</t>
  </si>
  <si>
    <t>FNDE 03</t>
  </si>
  <si>
    <t>LIGAÇÃO PROVISÓRIA DE ÁGUA E ESGOTO</t>
  </si>
  <si>
    <t>1.5</t>
  </si>
  <si>
    <t>99059</t>
  </si>
  <si>
    <t>LOCAÇÃO CONVENCIONAL DE OBRA, UTILIZANDO GABARITO DE TÁBUAS CORRIDAS PONTALETADAS A CADA 2,00M -  2 UTILIZAÇÕES. AF_03/2024</t>
  </si>
  <si>
    <t>M</t>
  </si>
  <si>
    <t>1.6</t>
  </si>
  <si>
    <t>FNDE 231</t>
  </si>
  <si>
    <t>LOCACAO DE CONTAINER 2,30 X 6,00 M, ALT. 2,50 M, COM 1 SANITARIO, PARA ESCRITORIO, COMPLETO, SEM DIVISORIAS INTERNAS (NAO INCLUI MOBILIZACAO/DESMOBILIZACAO)</t>
  </si>
  <si>
    <t>MES</t>
  </si>
  <si>
    <t>1.7</t>
  </si>
  <si>
    <t>FNDE 230</t>
  </si>
  <si>
    <t>LOCACAO DE CONTAINER 2,30 X 6,00 M, ALT. 2,50 M, PARA ESCRITORIO, SEM DIVISORIAS INTERNAS E SEM SANITARIO (NAO INCLUI MOBILIZACAO/DESMOBILIZACAO)</t>
  </si>
  <si>
    <t>1.8</t>
  </si>
  <si>
    <t>FNDE 232</t>
  </si>
  <si>
    <t>LOCACAO DE CONTAINER 2,30 X 6,00 M, ALT. 2,50 M, PARA SANITARIO, COM 4 BACIAS, 8 CHUVEIROS,1 LAVATORIO E 1 MICTORIO (NAO INCLUI MOBILIZACAO/DESMOBILIZACAO)</t>
  </si>
  <si>
    <t>1.9</t>
  </si>
  <si>
    <t>FNDE 392</t>
  </si>
  <si>
    <t>ADMINISTRAÇÃO LOCAL TIPO 2</t>
  </si>
  <si>
    <t>2</t>
  </si>
  <si>
    <t>ADMINISTRAÇÃO LOCAL 1</t>
  </si>
  <si>
    <t>3</t>
  </si>
  <si>
    <t>ADMINISTRAÇÃO LOCAL 2</t>
  </si>
  <si>
    <t>4</t>
  </si>
  <si>
    <t>ADMINISTRAÇÃO LOCAL 3</t>
  </si>
  <si>
    <t>5</t>
  </si>
  <si>
    <t>ADMINISTRAÇÃO LOCAL 4</t>
  </si>
  <si>
    <t>6</t>
  </si>
  <si>
    <t>ADMINISTRAÇÃO LOCAL 5</t>
  </si>
  <si>
    <t>7</t>
  </si>
  <si>
    <t>ADMINISTRAÇÃO LOCAL 6</t>
  </si>
  <si>
    <t>8</t>
  </si>
  <si>
    <t>ADMINISTRAÇÃO LOCAL 7</t>
  </si>
  <si>
    <t>9</t>
  </si>
  <si>
    <t>ADMINISTRAÇÃO LOCAL 8</t>
  </si>
  <si>
    <t>10</t>
  </si>
  <si>
    <t>ADMINISTRAÇÃO LOCAL 9</t>
  </si>
  <si>
    <t>11</t>
  </si>
  <si>
    <t>ADMINISTRAÇÃO LOCAL 10</t>
  </si>
  <si>
    <t>1.10</t>
  </si>
  <si>
    <t>98525</t>
  </si>
  <si>
    <t>LIMPEZA MECANIZADA DE CAMADA VEGETAL, VEGETAÇÃO E PEQUENAS ÁRVORES (DIÂMETRO DE TRONCO MENOR QUE 0,20 M), COM TRATOR DE ESTEIRAS. AF_03/2024</t>
  </si>
  <si>
    <t>MOVIMENTO DE TERRA PARA FUNDAÇÕES</t>
  </si>
  <si>
    <t>1.11</t>
  </si>
  <si>
    <t>94306</t>
  </si>
  <si>
    <t>ATERRO MECANIZADO DE VALA COM ESCAVADEIRA HIDRÁULICA (CAPACIDADE DA CAÇAMBA: 0,8 M³ / POTÊNCIA: 111 HP), LARGURA ATÉ 2,5 M, PROFUNDIDADE DE 1,5 A 3,0 M, COM SOLO ARGILO-ARENOSO. AF_08/2023</t>
  </si>
  <si>
    <t>M3</t>
  </si>
  <si>
    <t>1.12</t>
  </si>
  <si>
    <t>96523</t>
  </si>
  <si>
    <t>ESCAVAÇÃO MANUAL PARA BLOCO DE COROAMENTO OU SAPATA (INCLUINDO ESCAVAÇÃO PARA COLOCAÇÃO DE FÔRMAS). AF_01/2024</t>
  </si>
  <si>
    <t>1.13</t>
  </si>
  <si>
    <t>101617</t>
  </si>
  <si>
    <t>PREPARO DE FUNDO DE VALA COM LARGURA MAIOR OU IGUAL A 1,5 M E MENOR QUE 2,5 M (ACERTO DO SOLO NATURAL). AF_08/2020</t>
  </si>
  <si>
    <t>1.14</t>
  </si>
  <si>
    <t>93381</t>
  </si>
  <si>
    <t>REATERRO MECANIZADO DE VALA COM RETROESCAVADEIRA (CAPACIDADE DA CAÇAMBA   DA RETRO: 0,26 M³/POTÊNCIA: 88 HP), LARGURA 0,8 A 1,5 M, PROFUNDIDADE 1,5 A 3,0 M, COM SOLO (SEM SUBSTITUIÇÃO) DE 1ª CATEGORIA E COMPACTADOR DE SOLOS DE PERCUSSÃO. AF_08/2023</t>
  </si>
  <si>
    <t>1.15</t>
  </si>
  <si>
    <t>1.16</t>
  </si>
  <si>
    <t>1.17</t>
  </si>
  <si>
    <t>1.18</t>
  </si>
  <si>
    <t>1.19</t>
  </si>
  <si>
    <t>1.20</t>
  </si>
  <si>
    <t>1.21</t>
  </si>
  <si>
    <t>96619</t>
  </si>
  <si>
    <t>LASTRO DE CONCRETO MAGRO, APLICADO EM BLOCOS DE COROAMENTO OU SAPATAS, ESPESSURA DE 5 CM. AF_01/2024</t>
  </si>
  <si>
    <t>FUNDAÇÕES</t>
  </si>
  <si>
    <t>1.22</t>
  </si>
  <si>
    <t>96534</t>
  </si>
  <si>
    <t>FABRICAÇÃO, MONTAGEM E DESMONTAGEM DE FÔRMA PARA BLOCO DE COROAMENTO, EM MADEIRA SERRADA, E=25 MM, 4 UTILIZAÇÕES. AF_01/2024</t>
  </si>
  <si>
    <t>1.23</t>
  </si>
  <si>
    <t>104917</t>
  </si>
  <si>
    <t>ARMAÇÃO DE SAPATA ISOLADA, VIGA BALDRAME E SAPATA CORRIDA UTILIZANDO AÇO CA-50 DE 6,3 MM - MONTAGEM. AF_01/2024</t>
  </si>
  <si>
    <t>KG</t>
  </si>
  <si>
    <t>1.24</t>
  </si>
  <si>
    <t>104918</t>
  </si>
  <si>
    <t>ARMAÇÃO DE SAPATA ISOLADA, VIGA BALDRAME E SAPATA CORRIDA UTILIZANDO AÇO CA-50 DE 8 MM - MONTAGEM. AF_01/2024</t>
  </si>
  <si>
    <t>1.25</t>
  </si>
  <si>
    <t>104919</t>
  </si>
  <si>
    <t>ARMAÇÃO DE SAPATA ISOLADA, VIGA BALDRAME E SAPATA CORRIDA UTILIZANDO AÇO CA-50 DE 10 MM - MONTAGEM. AF_01/2024</t>
  </si>
  <si>
    <t>1.26</t>
  </si>
  <si>
    <t>104920</t>
  </si>
  <si>
    <t>ARMAÇÃO DE BLOCO, SAPATA ISOLADA, VIGA BALDRAME E SAPATA CORRIDA UTILIZANDO AÇO CA-50 DE 12,5 MM - MONTAGEM. AF_01/2024</t>
  </si>
  <si>
    <t>1.27</t>
  </si>
  <si>
    <t>92915</t>
  </si>
  <si>
    <t>ARMAÇÃO DE ESTRUTURAS DIVERSAS DE CONCRETO ARMADO, EXCETO VIGAS, PILARES, LAJES E FUNDAÇÕES, UTILIZANDO AÇO CA-60 DE 5,0 MM - MONTAGEM. AF_06/2022</t>
  </si>
  <si>
    <t>1.28</t>
  </si>
  <si>
    <t>96558</t>
  </si>
  <si>
    <t>CONCRETAGEM DE SAPATA, FCK 30 MPA, COM USO DE BOMBA - LANÇAMENTO, ADENSAMENTO E ACABAMENTO. AF_01/2024</t>
  </si>
  <si>
    <t>1.29</t>
  </si>
  <si>
    <t>1.30</t>
  </si>
  <si>
    <t>96616</t>
  </si>
  <si>
    <t>LASTRO DE CONCRETO MAGRO, APLICADO EM BLOCOS DE COROAMENTO OU SAPATAS. AF_01/2024</t>
  </si>
  <si>
    <t>1.31</t>
  </si>
  <si>
    <t>1.32</t>
  </si>
  <si>
    <t>1.33</t>
  </si>
  <si>
    <t>1.34</t>
  </si>
  <si>
    <t>1.35</t>
  </si>
  <si>
    <t>96543</t>
  </si>
  <si>
    <t>ARMAÇÃO DE BLOCO UTILIZANDO AÇO CA-60 DE 5 MM - MONTAGEM. AF_01/2024</t>
  </si>
  <si>
    <t>1.36</t>
  </si>
  <si>
    <t>96557</t>
  </si>
  <si>
    <t>CONCRETAGEM DE BLOCO DE COROAMENTO OU VIGA BALDRAME, FCK 30 MPA, COM USO DE BOMBA - LANÇAMENTO, ADENSAMENTO E ACABAMENTO. AF_01/2024</t>
  </si>
  <si>
    <t>1.37</t>
  </si>
  <si>
    <t>100896</t>
  </si>
  <si>
    <t>ESTACA ESCAVADA MECANICAMENTE, SEM FLUIDO ESTABILIZANTE, COM 25CM DE DIÂMETRO, CONCRETO LANÇADO POR CAMINHÃO BETONEIRA (EXCLUSIVE MOBILIZAÇÃO E DESMOBILIZAÇÃO). AF_01/2020_PA</t>
  </si>
  <si>
    <t>1.38</t>
  </si>
  <si>
    <t>95601</t>
  </si>
  <si>
    <t>ARRASAMENTO MECANICO DE ESTACA DE CONCRETO ARMADO, DIAMETROS DE ATÉ 40 CM. AF_05/2021</t>
  </si>
  <si>
    <t>1.39</t>
  </si>
  <si>
    <t>1.40</t>
  </si>
  <si>
    <t>96540</t>
  </si>
  <si>
    <t>FABRICAÇÃO, MONTAGEM E DESMONTAGEM DE FÔRMA PARA BLOCO DE COROAMENTO, EM CHAPA DE MADEIRA COMPENSADA RESINADA, E=17 MM, 4 UTILIZAÇÕES. AF_01/2024</t>
  </si>
  <si>
    <t>1.41</t>
  </si>
  <si>
    <t>96546</t>
  </si>
  <si>
    <t>ARMAÇÃO DE BLOCO UTILIZANDO AÇO CA-50 DE 10 MM - MONTAGEM. AF_01/2024</t>
  </si>
  <si>
    <t>1.42</t>
  </si>
  <si>
    <t>1.43</t>
  </si>
  <si>
    <t>104915</t>
  </si>
  <si>
    <t>ARMAÇÃO DE BLOCO E SAPATA UTILIZANDO AÇO CA-50 DE 25 MM - MONTAGEM. AF_01/2024</t>
  </si>
  <si>
    <t>1.44</t>
  </si>
  <si>
    <t>1.45</t>
  </si>
  <si>
    <t>1.46</t>
  </si>
  <si>
    <t>1.47</t>
  </si>
  <si>
    <t>1.48</t>
  </si>
  <si>
    <t>1.49</t>
  </si>
  <si>
    <t>103797</t>
  </si>
  <si>
    <t>ARMAÇÃO DE DESCIDA D'ÁGUA UTILIZANDO AÇO CA-60 DE 5 MM - MONTAGEM. AF_08/2022</t>
  </si>
  <si>
    <t>1.50</t>
  </si>
  <si>
    <t>1.51</t>
  </si>
  <si>
    <t>1.52</t>
  </si>
  <si>
    <t>96542</t>
  </si>
  <si>
    <t>FABRICAÇÃO, MONTAGEM E DESMONTAGEM DE FÔRMA PARA VIGA BALDRAME, EM CHAPA DE MADEIRA COMPENSADA RESINADA, E=17 MM, 4 UTILIZAÇÕES. AF_01/2024</t>
  </si>
  <si>
    <t>1.53</t>
  </si>
  <si>
    <t>1.54</t>
  </si>
  <si>
    <t>1.55</t>
  </si>
  <si>
    <t>92443</t>
  </si>
  <si>
    <t>MONTAGEM E DESMONTAGEM DE FÔRMA DE PILARES RETANGULARES E ESTRUTURAS SIMILARES, PÉ-DIREITO SIMPLES, EM CHAPA DE MADEIRA COMPENSADA PLASTIFICADA, 18 UTILIZAÇÕES. AF_09/2020</t>
  </si>
  <si>
    <t>SUPERESTRUTURA</t>
  </si>
  <si>
    <t>1.56</t>
  </si>
  <si>
    <t>92762</t>
  </si>
  <si>
    <t>ARMAÇÃO DE PILAR OU VIGA DE ESTRUTURA CONVENCIONAL DE CONCRETO ARMADO UTILIZANDO AÇO CA-50 DE 10,0 MM - MONTAGEM. AF_06/2022</t>
  </si>
  <si>
    <t>1.57</t>
  </si>
  <si>
    <t>92763</t>
  </si>
  <si>
    <t>ARMAÇÃO DE PILAR OU VIGA DE ESTRUTURA CONVENCIONAL DE CONCRETO ARMADO UTILIZANDO AÇO CA-50 DE 12,5 MM - MONTAGEM. AF_06/2022</t>
  </si>
  <si>
    <t>1.58</t>
  </si>
  <si>
    <t>92759</t>
  </si>
  <si>
    <t>ARMAÇÃO DE PILAR OU VIGA DE ESTRUTURA CONVENCIONAL DE CONCRETO ARMADO UTILIZANDO AÇO CA-60 DE 5,0 MM - MONTAGEM. AF_06/2022</t>
  </si>
  <si>
    <t>1.59</t>
  </si>
  <si>
    <t>103672</t>
  </si>
  <si>
    <t>CONCRETAGEM DE PILARES, FCK = 25 MPA, COM USO DE BOMBA - LANÇAMENTO, ADENSAMENTO E ACABAMENTO. AF_02/2022_PS</t>
  </si>
  <si>
    <t>1.60</t>
  </si>
  <si>
    <t>1.61</t>
  </si>
  <si>
    <t>92761</t>
  </si>
  <si>
    <t>ARMAÇÃO DE PILAR OU VIGA DE ESTRUTURA CONVENCIONAL DE CONCRETO ARMADO UTILIZANDO AÇO CA-50 DE 8,0 MM - MONTAGEM. AF_06/2022</t>
  </si>
  <si>
    <t>1.62</t>
  </si>
  <si>
    <t>1.63</t>
  </si>
  <si>
    <t>1.64</t>
  </si>
  <si>
    <t>103675</t>
  </si>
  <si>
    <t>CONCRETAGEM DE VIGAS E LAJES, FCK=25 MPA, PARA LAJES MACIÇAS OU NERVURADAS COM USO DE BOMBA - LANÇAMENTO, ADENSAMENTO E ACABAMENTO. AF_02/2022_PS</t>
  </si>
  <si>
    <t>1.65</t>
  </si>
  <si>
    <t>93184</t>
  </si>
  <si>
    <t>VERGA PRÉ-MOLDADA COM ATÉ 1,5 M DE VÃO, ESPESSURA DE *20* CM. AF_03/2024</t>
  </si>
  <si>
    <t>1.66</t>
  </si>
  <si>
    <t>1.67</t>
  </si>
  <si>
    <t>1.68</t>
  </si>
  <si>
    <t>1.69</t>
  </si>
  <si>
    <t>1.70</t>
  </si>
  <si>
    <t>1.71</t>
  </si>
  <si>
    <t>92760</t>
  </si>
  <si>
    <t>ARMAÇÃO DE PILAR OU VIGA DE ESTRUTURA CONVENCIONAL DE CONCRETO ARMADO UTILIZANDO AÇO CA-50 DE 6,3 MM - MONTAGEM. AF_06/2022</t>
  </si>
  <si>
    <t>1.72</t>
  </si>
  <si>
    <t>1.73</t>
  </si>
  <si>
    <t>1.74</t>
  </si>
  <si>
    <t>1.75</t>
  </si>
  <si>
    <t>1.76</t>
  </si>
  <si>
    <t>100775</t>
  </si>
  <si>
    <t>ESTRUTURA TRELIÇADA DE COBERTURA, TIPO FINK, COM LIGAÇÕES SOLDADAS, INCLUSOS PERFIS METÁLICOS, CHAPAS METÁLICAS, MÃO DE OBRA E TRANSPORTE COM GUINDASTE - FORNECIMENTO E INSTALAÇÃO. AF_01/2020_PSA</t>
  </si>
  <si>
    <t>1.77</t>
  </si>
  <si>
    <t>97083</t>
  </si>
  <si>
    <t>COMPACTAÇÃO MECÂNICA DE SOLO PARA EXECUÇÃO DE RADIER, PISO DE CONCRETO OU LAJE SOBRE SOLO, COM COMPACTADOR DE SOLOS A PERCUSSÃO. AF_09/2021</t>
  </si>
  <si>
    <t>1.78</t>
  </si>
  <si>
    <t>96622</t>
  </si>
  <si>
    <t>LASTRO COM MATERIAL GRANULAR, APLICADO EM PISOS OU LAJES SOBRE SOLO, ESPESSURA DE *5 CM*. AF_01/2024</t>
  </si>
  <si>
    <t>1.79</t>
  </si>
  <si>
    <t>97087</t>
  </si>
  <si>
    <t>CAMADA SEPARADORA PARA EXECUÇÃO DE RADIER, PISO DE CONCRETO OU LAJE SOBRE SOLO, EM LONA PLÁSTICA. AF_09/2021</t>
  </si>
  <si>
    <t>1.80</t>
  </si>
  <si>
    <t>94991</t>
  </si>
  <si>
    <t>EXECUÇÃO DE PASSEIO (CALÇADA) OU PISO DE CONCRETO COM CONCRETO MOLDADO IN LOCO, USINADO C20, ACABAMENTO CONVENCIONAL, NÃO ARMADO. AF_08/2022</t>
  </si>
  <si>
    <t>1.81</t>
  </si>
  <si>
    <t>1.82</t>
  </si>
  <si>
    <t>1.83</t>
  </si>
  <si>
    <t>1.84</t>
  </si>
  <si>
    <t>1.85</t>
  </si>
  <si>
    <t>101161</t>
  </si>
  <si>
    <t>ALVENARIA DE VEDAÇÃO COM ELEMENTO VAZADO DE CONCRETO (COBOGÓ) DE 7X50X50CM E ARGAMASSA DE ASSENTAMENTO COM PREPARO EM BETONEIRA. AF_05/2020</t>
  </si>
  <si>
    <t>SISTEMA DE VEDAÇÃO VERTICAL</t>
  </si>
  <si>
    <t>1.86</t>
  </si>
  <si>
    <t>103322</t>
  </si>
  <si>
    <t>ALVENARIA DE VEDAÇÃO DE BLOCOS CERÂMICOS FURADOS NA VERTICAL DE 9X19X39 CM (ESPESSURA 9 CM) E ARGAMASSA DE ASSENTAMENTO COM PREPARO EM BETONEIRA. AF_12/2021</t>
  </si>
  <si>
    <t>1.87</t>
  </si>
  <si>
    <t>103328</t>
  </si>
  <si>
    <t>ALVENARIA DE VEDAÇÃO DE BLOCOS CERÂMICOS FURADOS NA HORIZONTAL DE 9X19X19 CM (ESPESSURA 9 CM) E ARGAMASSA DE ASSENTAMENTO COM PREPARO EM BETONEIRA. AF_12/2021</t>
  </si>
  <si>
    <t>1.88</t>
  </si>
  <si>
    <t>103324</t>
  </si>
  <si>
    <t>ALVENARIA DE VEDAÇÃO DE BLOCOS CERÂMICOS FURADOS NA VERTICAL DE 14X19X39 CM (ESPESSURA 14 CM) E ARGAMASSA DE ASSENTAMENTO COM PREPARO EM BETONEIRA. AF_12/2021</t>
  </si>
  <si>
    <t>1.89</t>
  </si>
  <si>
    <t>101159</t>
  </si>
  <si>
    <t>ALVENARIA DE VEDAÇÃO DE BLOCOS CERÂMICOS MACIÇOS DE 5X10X20CM (ESPESSURA 10CM) E ARGAMASSA DE ASSENTAMENTO COM PREPARO EM BETONEIRA. AF_05/2020</t>
  </si>
  <si>
    <t>1.90</t>
  </si>
  <si>
    <t>93201</t>
  </si>
  <si>
    <t>FIXAÇÃO (ENCUNHAMENTO) DE ALVENARIA DE VEDAÇÃO COM ARGAMASSA APLICADA COM COLHER. AF_03/2016</t>
  </si>
  <si>
    <t>1.91</t>
  </si>
  <si>
    <t>1.92</t>
  </si>
  <si>
    <t>102253</t>
  </si>
  <si>
    <t>DIVISORIA SANITÁRIA, TIPO CABINE, EM GRANITO CINZA POLIDO, ESP = 3CM, ASSENTADO COM ARGAMASSA COLANTE AC III-E, EXCLUSIVE FERRAGENS. AF_01/2021</t>
  </si>
  <si>
    <t>1.93</t>
  </si>
  <si>
    <t>FNDE 129</t>
  </si>
  <si>
    <t>INSTALAÇÃO DE BOX DE VIDRO TEMPERADO, E = 10 MM, ENCAIXADO EM PERFIL U</t>
  </si>
  <si>
    <t>1.94</t>
  </si>
  <si>
    <t>96370</t>
  </si>
  <si>
    <t>PAREDE COM SISTEMA EM CHAPAS DE GESSO PARA DRYWALL, USO INTERNO, COM UMA FACE SIMPLES E ESTRUTURA METÁLICA COM GUIAS SIMPLES, SEM VÃOS. AF_07/2023_PS</t>
  </si>
  <si>
    <t>1.95</t>
  </si>
  <si>
    <t>FNDE 433</t>
  </si>
  <si>
    <t>PM1 - KIT DE PORTA DE MADEIRA PARA PINTURA, SEMI-OCA (LEVE OU MÉDIA), PADRÃO MÉDIO, 70X210CM, ESPESSURA DE 3,5CM, ITENS INCLUSOS: DOBRADIÇAS, MONTAGEM E INSTALAÇÃO DO BATENTE, FECHADURA COM EXECUÇÃO DO FURO - FORNECIMENTO E INSTALAÇÃO</t>
  </si>
  <si>
    <t>ESQUADRIAS</t>
  </si>
  <si>
    <t>1.96</t>
  </si>
  <si>
    <t>FNDE 247</t>
  </si>
  <si>
    <t>PM 2 - KIT DE PORTA DE MADEIRA COM VENEZIANA, 80X210CM (ESPESSURA DE 3CM), PADRÃO MÉDIO, ITENS INCLUSOS: DOBRADIÇAS, MONTAGEM E INSTALAÇÃO DE BATENTE, FECHADURA COM EXECUÇÃO DO FURO - FORNECIMENTO E INSTALAÇÃO</t>
  </si>
  <si>
    <t>1.97</t>
  </si>
  <si>
    <t>FNDE 246</t>
  </si>
  <si>
    <t>PM3 - KIT DE PORTA DE MADEIRA FRISADA, SEMI-OCA (LEVE OU MÉDIA), PADRÃO MÉDIO, 80X210CM, ESPESSURA DE 3,5CM, ITENS INCLUSOS: DOBRADIÇAS, MONTAGEM E INSTALAÇÃO DE BATENTE, FECHADURA COM EXECUÇÃO DO FURO - FORNECIMENTO E INSTALAÇÃO. AF_12/2019</t>
  </si>
  <si>
    <t>1.98</t>
  </si>
  <si>
    <t>FNDE 434</t>
  </si>
  <si>
    <t>PM4 - KIT DE PORTA DE MADEIRA FRISADA, SEMI-OCA (LEVE OU MÉDIA), PADRÃO MÉDIO, 80X210CM, ESPESSURA DE 3,5CM, ITENS INCLUSOS: DOBRADIÇAS, MONTAGEM E INSTALAÇÃO DE BATENTE, FECHADURA COM EXECUÇÃO DO FURO - FORNECIMENTO E INSTALAÇÃO. AF_12/2019</t>
  </si>
  <si>
    <t>1.99</t>
  </si>
  <si>
    <t>FNDE 430</t>
  </si>
  <si>
    <t>PM5 - KIT DE PORTA DE MADEIRA COM VISOR DE VIDRO, 80X210CM (ESPESSURA DE 3CM), PADRÃO POPULAR, ITENS INCLUSOS: DOBRADIÇAS, MONTAGEM E INSTALAÇÃO DE BATENTE, FECHADURA COM EXECUÇÃO DO FURO - FORNECIMENTO E INSTALAÇÃO. AF_12/2019</t>
  </si>
  <si>
    <t>1.100</t>
  </si>
  <si>
    <t>FNDE 432</t>
  </si>
  <si>
    <t>PM6 -PORTA EM COMPENSADO DE MADEIRA E=2cm REVESTIDA COM LAMINADO MELAMÍNICO COM VARIAÇÃO DE CORES</t>
  </si>
  <si>
    <t>1.101</t>
  </si>
  <si>
    <t>FNDE 431</t>
  </si>
  <si>
    <t>INSTALAÇÃO DE VIDRO LISO INCOLOR ESQUADRIA PM5 , E = 6 MM, EM ESQUADRIA DE MADEIRA, FIXADO COM BAGUETE</t>
  </si>
  <si>
    <t>1.102</t>
  </si>
  <si>
    <t>100705</t>
  </si>
  <si>
    <t>TARJETA TIPO LIVRE/OCUPADO PARA PORTA DE BANHEIRO. AF_12/2019</t>
  </si>
  <si>
    <t>1.103</t>
  </si>
  <si>
    <t>100866</t>
  </si>
  <si>
    <t>BARRA DE APOIO RETA, EM ACO INOX POLIDO, COMPRIMENTO 60CM, FIXADA NA PAREDE - FORNECIMENTO E INSTALAÇÃO. AF_01/2020</t>
  </si>
  <si>
    <t>1.104</t>
  </si>
  <si>
    <t>FNDE 04</t>
  </si>
  <si>
    <t>CHAPA METÁLICA (ALUMÍNIO) 0,90 M X 0,40 M, ESPESSURA 1 MM PARA AS PORTAS</t>
  </si>
  <si>
    <t>1.105</t>
  </si>
  <si>
    <t>FNDE 251</t>
  </si>
  <si>
    <t>PORTA DE ABRIR - PA1 - 100 X 210 CM EM CHAPA DE ALUMÍNIO, COM VENEZIANA E VIDRO MINIBOREAL 6 MM, INCLUSO FECHADURA E PUXADOR - CONFORME PROJETO DE ESQUADRIAS</t>
  </si>
  <si>
    <t>1.106</t>
  </si>
  <si>
    <t>FNDE 252</t>
  </si>
  <si>
    <t>PORTA DE ABRIR - PA2 - 80 X 210 CM EM CHAPA DE ALUMÍNIO, TIPO VENEZIANA COM GUARNIÇÃO, FIXAÇÃO COM PARAFUSOS - FORNECIMENTO E INSTALAÇÃO - CONFORME PROJETO DE ESQUADRIAS</t>
  </si>
  <si>
    <t>1.107</t>
  </si>
  <si>
    <t>FNDE 253</t>
  </si>
  <si>
    <t>PORTA DE ABRIR 2 FOLHAS - PA3 - 160 X 210 CM EM CHAPA DE ALUMÍNIO, TIPO VENEZIANA COM GUARNIÇÃO, FIXAÇÃO COM PARAFUSOS - FORNECIMENTO E INSTALAÇÃO - CONFORME PROJETO DE ESQUADRIAS</t>
  </si>
  <si>
    <t>1.108</t>
  </si>
  <si>
    <t>FNDE 435</t>
  </si>
  <si>
    <t>PORTA DE CORRER - PA4- 450 X 210 CM, DE ALUMÍNIO, COM DUAS FOLHAS FIXAS E DUAS FOLHAS DE CORRER PARA VIDRO, INCLUSO VIDRO LISO INCOLOR 8 MM, FECHADURA E PUXADOR, SEM ALIZAR - CONFORME PROJETO DE ESQUADRIAS</t>
  </si>
  <si>
    <t>1.109</t>
  </si>
  <si>
    <t>FNDE 436</t>
  </si>
  <si>
    <t>PORTA DE ABRIR  - PA5 - 120 X 170 CM EM CHAPA DE ALUMÍNIO, TIPO VENEZIANA COM GUARNIÇÃO, FIXAÇÃO COM PARAFUSOS - FORNECIMENTO E INSTALAÇÃO - CONFORME PROJETO DE ESQUADRIAS</t>
  </si>
  <si>
    <t>1.110</t>
  </si>
  <si>
    <t>FNDE 258</t>
  </si>
  <si>
    <t>JANELA DE ALUMÍNIO - JA-1 - 70 X 125 CM, TIPO GUILHOTINA COMPLETA, COM VIDROS, BATENTE E FERRAGENS. EXCLUSIVE ALIZAR, ACABAMENTO E CONTRAMARCO, CONFORME PROJETO DE ESQUADRIAS</t>
  </si>
  <si>
    <t>1.111</t>
  </si>
  <si>
    <t>FNDE 438</t>
  </si>
  <si>
    <t>JANELA DE ALUMÍNIO - JA-2 - 110 X 195 CM, TIPO GUILHOTINACOMPLETA, COM VIDROS, BATENTE E FERRAGENS. EXCLUSIVE ALIZAR, ACABAMENTO E CONTRAMARCO, CONFORME PROJETO DE ESQUADRIAS</t>
  </si>
  <si>
    <t>1.112</t>
  </si>
  <si>
    <t>FNDE 275</t>
  </si>
  <si>
    <t>JANELA DE ALUMÍNIO JA-3 - 140 X 115, TIPO FIXA, PARA VIDRO, COM VIDRO, BATENTE E FERRAGENS. EXCLUSIVE ACABAMENTO, ALIZAR E CONTRAMARCO, CONFORME PROJETO DE ESQUADRIAS</t>
  </si>
  <si>
    <t>1.113</t>
  </si>
  <si>
    <t>FNDE 439</t>
  </si>
  <si>
    <t>JANELA DE ALUMÍNIO - JA-4 - 140 X 195 CM, TIPO GUILHOTINA COMPLETA, COM VIDROS, BATENTE E FERRAGENS. EXCLUSIVE ALIZAR, ACABAMENTO E CONTRAMARCO, CONFORME PROJETO DE ESQUADRIAS</t>
  </si>
  <si>
    <t>1.114</t>
  </si>
  <si>
    <t>FNDE 440</t>
  </si>
  <si>
    <t>JANELA DE ALUMÍNIO JA-5 - 200 X 105 CM, TIPO FIXA, PARA VIDRO, COM VIDRO, BATENTE E FERRAGENS. EXCLUSIVE ACABAMENTO, ALIZAR E CONTRAMARCO, CONFORME PROJETO DE ESQUADRIAS</t>
  </si>
  <si>
    <t>1.115</t>
  </si>
  <si>
    <t>FNDE 441</t>
  </si>
  <si>
    <t>JANELA DE ALUMÍNIO - JA-6 - 210 X 50 CM, TIPO MAXIM-AR, COM VIDROS, BATENTE E FERRAGENS. EXCLUSIVE ALIZAR, ACABAMENTO E CONTRAMARCO, CONFORME PROJETO DE ESQUADRIAS</t>
  </si>
  <si>
    <t>1.116</t>
  </si>
  <si>
    <t>FNDE 264</t>
  </si>
  <si>
    <t>JANELA DE ALUMÍNIO - JA-7 - 210 X 75 CM, TIPO MAXIM-AR, COM VIDROS, BATENTE E FERRAGENS. EXCLUSIVE ALIZAR, ACABAMENTO E CONTRAMARCO, CONFORME PROJETO DE ESQUADRIAS</t>
  </si>
  <si>
    <t>1.117</t>
  </si>
  <si>
    <t>FNDE 268</t>
  </si>
  <si>
    <t>JANELA DE ALUMÍNIO - JA-8 - 210 X 100 CM, TIPO MAXIM-AR, COM VIDROS, BATENTE E FERRAGENS. EXCLUSIVE ALIZAR, ACABAMENTO E CONTRAMARCO, CONFORME PROJETO DE ESQUADRIAS</t>
  </si>
  <si>
    <t>1.118</t>
  </si>
  <si>
    <t>FNDE 265</t>
  </si>
  <si>
    <t>JANELA DE ALUMÍNIO - JA-9 - 210 X 150 CM, TIPO MAXIM-AR, COM VIDROS, BATENTE E FERRAGENS. EXCLUSIVE ALIZAR, ACABAMENTO E CONTRAMARCO, CONFORME PROJETO DE ESQUADRIAS</t>
  </si>
  <si>
    <t>1.119</t>
  </si>
  <si>
    <t>FNDE 442</t>
  </si>
  <si>
    <t>JANELA DE ALUMÍNIO - JA-10 - 70 X 75 CM, TIPO MAXIM-AR, COM VIDROS, BATENTE E FERRAGENS. EXCLUSIVE ALIZAR, ACABAMENTO E CONTRAMARCO, CONFORME PROJETO DE ESQUADRIAS</t>
  </si>
  <si>
    <t>1.120</t>
  </si>
  <si>
    <t>FNDE 270</t>
  </si>
  <si>
    <t>JANELA DE ALUMÍNIO - JA-11 - 140 X 75 CM, TIPO MAXIM-AR, COM VIDROS, BATENTE E FERRAGENS. EXCLUSIVE ALIZAR, ACABAMENTO E CONTRAMARCO, CONFORME PROJETO DE ESQUADRIAS</t>
  </si>
  <si>
    <t>1.121</t>
  </si>
  <si>
    <t>FNDE 443</t>
  </si>
  <si>
    <t>JANELA DE ALUMÍNIO - JA-12 - 420 X 50 CM, TIPO MAXIM-AR, COM VIDROS, BATENTE E FERRAGENS. EXCLUSIVE ALIZAR, ACABAMENTO E CONTRAMARCO, CONFORME PROJETO DE ESQUADRIAS</t>
  </si>
  <si>
    <t>1.122</t>
  </si>
  <si>
    <t>FNDE 444</t>
  </si>
  <si>
    <t>JANELA DE ALUMÍNIO - JA-13 - 560 X 100 CM, TIPO MAXIM-AR, COM VIDROS, BATENTE E FERRAGENS. EXCLUSIVE ALIZAR, ACABAMENTO E CONTRAMARCO, CONFORME PROJETO DE ESQUADRIAS</t>
  </si>
  <si>
    <t>1.123</t>
  </si>
  <si>
    <t>FNDE 445</t>
  </si>
  <si>
    <t>JANELA DE ALUMÍNIO JA-14 - 160 X 85, TIPO FIXA, PARA VIDRO, COM VIDRO, BATENTE E FERRAGENS. EXCLUSIVE ACABAMENTO, ALIZAR E CONTRAMARCO, CONFORME PROJETO DE ESQUADRIAS</t>
  </si>
  <si>
    <t>1.124</t>
  </si>
  <si>
    <t>FNDE 05</t>
  </si>
  <si>
    <t>TELA TIPO MOSQUITEIRO - FIXADA NA ESQUADRIA - CONFORME PROJETO DE ESQUADRIAS</t>
  </si>
  <si>
    <t>1.125</t>
  </si>
  <si>
    <t>FNDE 437</t>
  </si>
  <si>
    <t>PORTA DE VIDRO - PV1 - 175X 230 CM, DE ABRIR DUAS FOLHAS TEMPERADO INCOLOR 10 MM, CONFORME PROJETO</t>
  </si>
  <si>
    <t>1.126</t>
  </si>
  <si>
    <t>FNDE 280</t>
  </si>
  <si>
    <t>PF1 - PORTÃO METÁLICO DE ABRIR, 1,40 X 2,20 M, COM CHAPA METÁLICA, INCLUSO PINTURA, CONFORME PROJETO DE ESQUADRIAS</t>
  </si>
  <si>
    <t>1.127</t>
  </si>
  <si>
    <t>FNDE 08</t>
  </si>
  <si>
    <t>PF2 - PORTÃO METÁLICO DE ABRIR,  1,40 X 1,05 M, COM CHAPA METÁLICA, INCLUSO PINTURA, CONFORME PROJETO DE ESQUADRIAS</t>
  </si>
  <si>
    <t>1.128</t>
  </si>
  <si>
    <t>FNDE 281</t>
  </si>
  <si>
    <t>FECHAMENTO EM CHAPA METÁLICA PERFURADA, INCLUSO PINTURA, CONFORME PROJETO</t>
  </si>
  <si>
    <t>1.129</t>
  </si>
  <si>
    <t>FNDE 283</t>
  </si>
  <si>
    <t>CERCA/GRADIL H=1,58M, MALHA 5 X 15CM -  GALVANIZADO</t>
  </si>
  <si>
    <t>1.130</t>
  </si>
  <si>
    <t>FNDE 446</t>
  </si>
  <si>
    <t>P01 - PORTÃO METÁLICO 1,50 x 2,10 M , MALHA 5 X 20CM - FIO 5,00MM, REVESTIDOS EM POLIESTER POR PROCESSO DE PINTURA ELETROSTÁTICA (GRADIL), NA COR BRANCA - FORNECIMENTO E INSTALAÇÃO</t>
  </si>
  <si>
    <t>1.131</t>
  </si>
  <si>
    <t>FNDE 447</t>
  </si>
  <si>
    <t>P02 - PORTÃO METÁLICO 1,00 x 2,00 M , MALHA 5 X 20CM - FIO 5,00MM, REVESTIDOS EM POLIESTER POR PROCESSO DE PINTURA ELETROSTÁTICA (GRADIL), NA COR BRANCA - FORNECIMENTO E INSTALAÇÃO</t>
  </si>
  <si>
    <t>1.132</t>
  </si>
  <si>
    <t>FNDE 448</t>
  </si>
  <si>
    <t>P03 - PORTÃO METÁLICO 3,12 x 2,00 M , MALHA 5 X 20CM - FIO 5,00MM, REVESTIDOS EM POLIESTER POR PROCESSO DE PINTURA ELETROSTÁTICA (GRADIL), NA COR BRANCA - FORNECIMENTO E INSTALAÇÃO</t>
  </si>
  <si>
    <t>1.133</t>
  </si>
  <si>
    <t>FNDE 20</t>
  </si>
  <si>
    <t>TELHA TERMOISOLANTE REVESTIDA EM ACO GALVALUME, FACE SUPERIOR TRAPEZOIDAL E FACE INFERIOR PLANA (NAO INCLUI ACESSORIOS DE FIXACAO), REVEST COM ESPESSURA DE 0,50 MM, COM PRE-PINTURA DE COR BRANCA NAS DUAS FACES, NUCLEO EM POLIIOCIANURATO (PIR) COM ESPESSURA DE 50 MM</t>
  </si>
  <si>
    <t>SISTEMAS DE COBERTURA</t>
  </si>
  <si>
    <t>1.134</t>
  </si>
  <si>
    <t>94229</t>
  </si>
  <si>
    <t>CALHA EM CHAPA DE AÇO GALVANIZADO NÚMERO 24, DESENVOLVIMENTO DE 100 CM, INCLUSO TRANSPORTE VERTICAL. AF_07/2019</t>
  </si>
  <si>
    <t>1.135</t>
  </si>
  <si>
    <t>FNDE 422</t>
  </si>
  <si>
    <t>RUFO EM CHAPA DE AÇO GALVANIZADO NR. 24, DESENVOLVIMENTO 73 CM</t>
  </si>
  <si>
    <t>1.136</t>
  </si>
  <si>
    <t>FNDE 423</t>
  </si>
  <si>
    <t>RUFO EM CHAPA DE AÇO GALVANIZADO NR. 24, DESENVOLVIMENTO 39 CM</t>
  </si>
  <si>
    <t>1.137</t>
  </si>
  <si>
    <t>FNDE 424</t>
  </si>
  <si>
    <t>RUFO EM CHAPA DE AÇO GALVANIZADO NR. 24, DESENVOLVIMENTO 32 CM</t>
  </si>
  <si>
    <t>1.138</t>
  </si>
  <si>
    <t>FNDE 167</t>
  </si>
  <si>
    <t>PINGADEIRA EM CHAPA DE AÇO GALVANIZADO</t>
  </si>
  <si>
    <t>1.139</t>
  </si>
  <si>
    <t>FNDE 172</t>
  </si>
  <si>
    <t>IMPERMEABILIZAÇÃO DE VIGA BALDRAME COM EMULSÃO ASFÁLTICA, 2 DEMÃOS</t>
  </si>
  <si>
    <t>IMPERMEABILIZAÇÃO</t>
  </si>
  <si>
    <t>1.140</t>
  </si>
  <si>
    <t>FNDE 174</t>
  </si>
  <si>
    <t>IMPERMEABILIZAÇÃO DE PISO COM EMULSÃO ASFÁLTICA, 2 DEMÃOS</t>
  </si>
  <si>
    <t>1.141</t>
  </si>
  <si>
    <t>87878</t>
  </si>
  <si>
    <t>CHAPISCO APLICADO EM ALVENARIAS E ESTRUTURAS DE CONCRETO INTERNAS, COM COLHER DE PEDREIRO.  ARGAMASSA TRAÇO 1:3 COM PREPARO MANUAL. AF_10/2022</t>
  </si>
  <si>
    <t>SISTEMAS DE PISOS</t>
  </si>
  <si>
    <t>1.142</t>
  </si>
  <si>
    <t>87535</t>
  </si>
  <si>
    <t>EMBOÇO, EM ARGAMASSA TRAÇO 1:2:8, PREPARO MECÂNICO, APLICADO MANUALMENTE EM PAREDES INTERNAS DE AMBIENTES COM ÁREA MAIOR QUE 10M², E = 17,5MM, COM TALISCAS. AF_03/2024</t>
  </si>
  <si>
    <t>REVESTIMENTOS INTERNO E EXTERNO</t>
  </si>
  <si>
    <t>1.143</t>
  </si>
  <si>
    <t>87792</t>
  </si>
  <si>
    <t>EMBOÇO OU MASSA ÚNICA EM ARGAMASSA TRAÇO 1:2:8, PREPARO MECÂNICO COM BETONEIRA 400 L, APLICADA MANUALMENTE EM PANOS CEGOS DE FACHADA (SEM PRESENÇA DE VÃOS), ESPESSURA DE 25 MM. AF_08/2022</t>
  </si>
  <si>
    <t>1.144</t>
  </si>
  <si>
    <t>87543</t>
  </si>
  <si>
    <t>MASSA ÚNICA, EM ARGAMASSA INDUSTRIALIZADA, PREPARO MECÂNICO, APLICADA COM EQUIPAMENTO DE MISTURA E PROJEÇÃO DE ARGAMASSA EM PAREDES INTERNAS, E = 5MM, SEM TALISCAS. AF_03/2024</t>
  </si>
  <si>
    <t>1.145</t>
  </si>
  <si>
    <t>87273</t>
  </si>
  <si>
    <t>REVESTIMENTO CERÂMICO PARA PAREDES INTERNAS COM PLACAS TIPO ESMALTADA EXTRA  DE DIMENSÕES 33X45 CM APLICADAS NA ALTURA INTEIRA DAS PAREDES. AF_02/2023_PE</t>
  </si>
  <si>
    <t>1.146</t>
  </si>
  <si>
    <t>FNDE 293</t>
  </si>
  <si>
    <t>REVESTIMENTO CERÂMICO PARA PAREDES INTERNAS COM PLACAS TIPO ESMALTADA EXTRA DE DIMENSÕES 10X10 CM COR AMARELA APLICADAS NA ALTURA INTEIRA DAS PAREDES</t>
  </si>
  <si>
    <t>1.147</t>
  </si>
  <si>
    <t>FNDE 294</t>
  </si>
  <si>
    <t>REVESTIMENTO CERÂMICO PARA PAREDES INTERNAS COM PLACAS TIPO ESMALTADA EXTRA DE DIMENSÕES 10X10 CM COR AZUL APLICADAS NA ALTURA INTEIRA DAS PAREDES</t>
  </si>
  <si>
    <t>1.148</t>
  </si>
  <si>
    <t>FNDE 295</t>
  </si>
  <si>
    <t>REVESTIMENTO CERÂMICO PARA PAREDES INTERNAS COM PLACAS TIPO ESMALTADA EXTRA DE DIMENSÕES 10X10 CM COR BRANCA APLICADAS NA ALTURA INTEIRA DAS PAREDES</t>
  </si>
  <si>
    <t>1.149</t>
  </si>
  <si>
    <t>FNDE 296</t>
  </si>
  <si>
    <t>REVESTIMENTO CERÂMICO PARA PAREDES INTERNAS COM PLACAS TIPO ESMALTADA EXTRA DE DIMENSÕES 10X10 CM COR VERMELHA APLICADAS NA ALTURA INTEIRA DAS PAREDES</t>
  </si>
  <si>
    <t>1.150</t>
  </si>
  <si>
    <t>FNDE 245</t>
  </si>
  <si>
    <t>RODA MEIO EM MADEIRA, ALTURA 7CM, FIXADO COM COLA</t>
  </si>
  <si>
    <t>1.151</t>
  </si>
  <si>
    <t>96114</t>
  </si>
  <si>
    <t>FORRO EM DRYWALL, PARA AMBIENTES COMERCIAIS, INCLUSIVE ESTRUTURA BIRECIONAL DE FIXAÇÃO. AF_08/2023_PS</t>
  </si>
  <si>
    <t>1.152</t>
  </si>
  <si>
    <t>FNDE 18</t>
  </si>
  <si>
    <t>FORRO DE FIBRA MINERAL EM PLACAS DE 625 X 625 MM, E = 15 MM, BORDA RETA, COM PINTURA ANTIMOFO, APOIADO EM PERFIL DE ACO GALVANIZADO COM 24 MM DE BASE - INSTALADO</t>
  </si>
  <si>
    <t>1.153</t>
  </si>
  <si>
    <t>1.154</t>
  </si>
  <si>
    <t>1.155</t>
  </si>
  <si>
    <t>FNDE 182</t>
  </si>
  <si>
    <t>CONTRAPISO DE CONCRETO NÃO-ESTRUTURAL, ESPESSURA 3 CM E PREPARO MECÂNICO</t>
  </si>
  <si>
    <t>1.156</t>
  </si>
  <si>
    <t>98680</t>
  </si>
  <si>
    <t>PISO CIMENTADO, TRAÇO 1:3 (CIMENTO E AREIA), ACABAMENTO LISO, ESPESSURA 3,0 CM, PREPARO MECÂNICO DA ARGAMASSA. AF_09/2020</t>
  </si>
  <si>
    <t>1.157</t>
  </si>
  <si>
    <t>87755</t>
  </si>
  <si>
    <t>CONTRAPISO EM ARGAMASSA TRAÇO 1:4 (CIMENTO E AREIA), PREPARO MECÂNICO COM BETONEIRA 400 L, APLICADO EM ÁREAS MOLHADAS SOBRE IMPERMEABILIZAÇÃO, ACABAMENTO NÃO REFORÇADO, ESPESSURA 3CM. AF_07/2021</t>
  </si>
  <si>
    <t>1.158</t>
  </si>
  <si>
    <t>87257</t>
  </si>
  <si>
    <t>REVESTIMENTO CERÂMICO PARA PISO COM PLACAS TIPO ESMALTADA EXTRA DE DIMENSÕES 60X60 CM APLICADA EM AMBIENTES DE ÁREA MAIOR QUE 10 M2. AF_02/2023_PE</t>
  </si>
  <si>
    <t>1.159</t>
  </si>
  <si>
    <t>87251</t>
  </si>
  <si>
    <t>REVESTIMENTO CERÂMICO PARA PISO COM PLACAS TIPO ESMALTADA EXTRA DE DIMENSÕES 45X45 CM APLICADA EM AMBIENTES DE ÁREA MAIOR QUE 10 M2. AF_02/2023_PE</t>
  </si>
  <si>
    <t>1.160</t>
  </si>
  <si>
    <t>FNDE 425</t>
  </si>
  <si>
    <t>PISO VINÍLICO SEMI-FLEXÍVEL EM MANTA ESPESSURA 2 MM</t>
  </si>
  <si>
    <t>1.161</t>
  </si>
  <si>
    <t>FNDE 09</t>
  </si>
  <si>
    <t>NATA DE CIMENTO COM COLA PVA, PARA NIVELAMENTO  DE CONTRAPISO PARA ASSENTAMENTO DE PISO VINÍLICO</t>
  </si>
  <si>
    <t>1.162</t>
  </si>
  <si>
    <t>88650</t>
  </si>
  <si>
    <t>RODAPÉ CERÂMICO DE 7CM DE ALTURA COM PLACAS TIPO ESMALTADA EXTRA DE DIMENSÕES 60X60CM. AF_02/2023</t>
  </si>
  <si>
    <t>1.163</t>
  </si>
  <si>
    <t>98688</t>
  </si>
  <si>
    <t>RODAPÉ EM POLIESTIRENO, ALTURA 5 CM. AF_09/2020</t>
  </si>
  <si>
    <t>1.164</t>
  </si>
  <si>
    <t>98689</t>
  </si>
  <si>
    <t>SOLEIRA EM GRANITO, LARGURA 15 CM, ESPESSURA 2,0 CM. AF_09/2020</t>
  </si>
  <si>
    <t>1.165</t>
  </si>
  <si>
    <t>FNDE 426</t>
  </si>
  <si>
    <t>SOLEIRA EM GRANITO, LARGURA 30 CM, ESPESSURA 2,0 CM</t>
  </si>
  <si>
    <t>1.166</t>
  </si>
  <si>
    <t>102494</t>
  </si>
  <si>
    <t>PINTURA DE PISO COM TINTA EPÓXI, APLICAÇÃO MANUAL, 2 DEMÃOS, INCLUSO PRIMER EPÓXI. AF_05/2021</t>
  </si>
  <si>
    <t>1.167</t>
  </si>
  <si>
    <t>98682</t>
  </si>
  <si>
    <t>PISO CIMENTADO, TRAÇO 1:3 (CIMENTO E AREIA), ACABAMENTO RÚSTICO, ESPESSURA 3,0 CM, PREPARO MECÂNICO DA ARGAMASSA. AF_09/2020</t>
  </si>
  <si>
    <t>1.168</t>
  </si>
  <si>
    <t>92396</t>
  </si>
  <si>
    <t>EXECUÇÃO DE PASSEIO EM PISO INTERTRAVADO, COM BLOCO RETANGULAR COR NATURAL DE 20 X 10 CM, ESPESSURA 6 CM. AF_10/2022</t>
  </si>
  <si>
    <t>1.169</t>
  </si>
  <si>
    <t>FNDE 190</t>
  </si>
  <si>
    <t>PISO PODOTÁTIL DE ALERTA, COR VERMELHA, DE CONCRETO, ASSENTADO SOBRE ARGAMASSA</t>
  </si>
  <si>
    <t>1.170</t>
  </si>
  <si>
    <t>FNDE 427</t>
  </si>
  <si>
    <t>PISO PODOTÁTIL DIRECIONAL, , COR VERMELHA, DE CONCRETO, ASSENTADO SOBRE ARGAMASSA</t>
  </si>
  <si>
    <t>1.171</t>
  </si>
  <si>
    <t>FNDE 10</t>
  </si>
  <si>
    <t>COLCHÃO DRENANTE DE AREIA H= 30 CM</t>
  </si>
  <si>
    <t>1.172</t>
  </si>
  <si>
    <t>98504</t>
  </si>
  <si>
    <t>PLANTIO DE GRAMA BATATAIS EM PLACAS. AF_05/2018</t>
  </si>
  <si>
    <t>1.173</t>
  </si>
  <si>
    <t>94263</t>
  </si>
  <si>
    <t>GUIA (MEIO-FIO) CONCRETO, MOLDADA  IN LOCO  EM TRECHO RETO COM EXTRUSORA, 13 CM BASE X 22 CM ALTURA. AF_01/2024</t>
  </si>
  <si>
    <t>1.174</t>
  </si>
  <si>
    <t>88497</t>
  </si>
  <si>
    <t>EMASSAMENTO COM MASSA LÁTEX, APLICAÇÃO EM PAREDE, DUAS DEMÃOS, LIXAMENTO MANUAL. AF_04/2023</t>
  </si>
  <si>
    <t>PINTURAS E ACABAMENTOS</t>
  </si>
  <si>
    <t>1.175</t>
  </si>
  <si>
    <t>FNDE 402</t>
  </si>
  <si>
    <t>PINTURA LÁTEX ACRÍLICA, COR BRANCO GELO, APLICAÇÃO MANUAL EM PAREDES, DUAS DEMÃOS</t>
  </si>
  <si>
    <t>1.176</t>
  </si>
  <si>
    <t>102219</t>
  </si>
  <si>
    <t>PINTURA TINTA DE ACABAMENTO (PIGMENTADA) ESMALTE SINTÉTICO ACETINADO EM MADEIRA, 2 DEMÃOS. AF_01/2021</t>
  </si>
  <si>
    <t>1.177</t>
  </si>
  <si>
    <t>FNDE 201</t>
  </si>
  <si>
    <t>PINTURA EM ESMALTE SINTÉTICO EM RODAMEIO DE MADEIRA, 2 DEMÃOS - COR BRANCO</t>
  </si>
  <si>
    <t>1.178</t>
  </si>
  <si>
    <t>FNDE 428</t>
  </si>
  <si>
    <t>PINTURA COM TINTA EPÓXI EM PAREDES,ÁREAS MOLHADAS,  APLICAÇÃO MANUAL, 2 DEMÃOS, INCLUSO PRIMER EPÓXI</t>
  </si>
  <si>
    <t>1.179</t>
  </si>
  <si>
    <t>100742</t>
  </si>
  <si>
    <t>PINTURA COM TINTA ALQUÍDICA DE ACABAMENTO (ESMALTE SINTÉTICO ACETINADO) APLICADA A ROLO OU PINCEL SOBRE SUPERFÍCIES METÁLICAS (EXCETO PERFIL) EXECUTADO EM OBRA (POR DEMÃO). AF_01/2020</t>
  </si>
  <si>
    <t>1.180</t>
  </si>
  <si>
    <t>88494</t>
  </si>
  <si>
    <t>EMASSAMENTO COM MASSA LÁTEX, APLICAÇÃO EM TETO, UMA DEMÃO, LIXAMENTO MANUAL. AF_04/2023</t>
  </si>
  <si>
    <t>1.181</t>
  </si>
  <si>
    <t>88488</t>
  </si>
  <si>
    <t>PINTURA LÁTEX ACRÍLICA PREMIUM, APLICAÇÃO MANUAL EM TETO, DUAS DEMÃOS. AF_04/2023</t>
  </si>
  <si>
    <t>1.182</t>
  </si>
  <si>
    <t>100724</t>
  </si>
  <si>
    <t>PINTURA COM TINTA ALQUÍDICA DE FUNDO E ACABAMENTO (ESMALTE SINTÉTICO GRAFITE) APLICADA A ROLO OU PINCEL SOBRE PERFIL METÁLICO EXECUTADO EM FÁBRICA (POR DEMÃO). AF_01/2020</t>
  </si>
  <si>
    <t>1.183</t>
  </si>
  <si>
    <t>96132</t>
  </si>
  <si>
    <t>APLICAÇÃO MANUAL DE MASSA ACRÍLICA EM PANOS DE FACHADA SEM PRESENÇA DE VÃOS, DE EDIFÍCIOS DE MÚLTIPLOS PAVIMENTOS, DUAS DEMÃOS. AF_03/2024</t>
  </si>
  <si>
    <t>1.184</t>
  </si>
  <si>
    <t>88489</t>
  </si>
  <si>
    <t>PINTURA LÁTEX ACRÍLICA PREMIUM, APLICAÇÃO MANUAL EM PAREDES, DUAS DEMÃOS. AF_04/2023</t>
  </si>
  <si>
    <t>1.185</t>
  </si>
  <si>
    <t>89401</t>
  </si>
  <si>
    <t>TUBO, PVC, SOLDÁVEL, DN 20MM, INSTALADO EM RAMAL DE DISTRIBUIÇÃO DE ÁGUA - FORNECIMENTO E INSTALAÇÃO. AF_06/2022</t>
  </si>
  <si>
    <t>12</t>
  </si>
  <si>
    <t>INSTALAÇÃO HIDRÁULICA</t>
  </si>
  <si>
    <t>1.186</t>
  </si>
  <si>
    <t>89356</t>
  </si>
  <si>
    <t>TUBO, PVC, SOLDÁVEL, DN 25MM, INSTALADO EM RAMAL OU SUB-RAMAL DE ÁGUA - FORNECIMENTO E INSTALAÇÃO. AF_06/2022</t>
  </si>
  <si>
    <t>1.187</t>
  </si>
  <si>
    <t>103979</t>
  </si>
  <si>
    <t>TUBO, PVC, SOLDÁVEL, DN 50MM, INSTALADO EM RAMAL DE DISTRIBUIÇÃO DE ÁGUA - FORNECIMENTO E INSTALAÇÃO. AF_06/2022</t>
  </si>
  <si>
    <t>1.188</t>
  </si>
  <si>
    <t>89450</t>
  </si>
  <si>
    <t>TUBO, PVC, SOLDÁVEL, DN 60MM, INSTALADO EM PRUMADA DE ÁGUA - FORNECIMENTO E INSTALAÇÃO. AF_06/2022</t>
  </si>
  <si>
    <t>1.189</t>
  </si>
  <si>
    <t>89451</t>
  </si>
  <si>
    <t>TUBO, PVC, SOLDÁVEL, DN 75MM, INSTALADO EM PRUMADA DE ÁGUA - FORNECIMENTO E INSTALAÇÃO. AF_06/2022</t>
  </si>
  <si>
    <t>1.190</t>
  </si>
  <si>
    <t>89452</t>
  </si>
  <si>
    <t>TUBO, PVC, SOLDÁVEL, DN 85MM, INSTALADO EM PRUMADA DE ÁGUA - FORNECIMENTO E INSTALAÇÃO. AF_06/2022</t>
  </si>
  <si>
    <t>1.191</t>
  </si>
  <si>
    <t>94771</t>
  </si>
  <si>
    <t>ADAPTADOR COM FLANGES LIVRES, CPVC, ROSCÁVEL, DN 22 MM, INSTALADO EM RESERVAÇÃO DE ÁGUA DE EDIFICAÇÃO QUE POSSUA RESERVATÓRIO DE FIBRA/FIBROCIMENTO - FORNECIMENTO E INSTALAÇÃO. AF_06/2016</t>
  </si>
  <si>
    <t>1.192</t>
  </si>
  <si>
    <t>94713</t>
  </si>
  <si>
    <t>ADAPTADOR COM FLANGES LIVRES, PVC, SOLDÁVEL, DN 75 MM X 2 1/2 , INSTALADO EM RESERVAÇÃO DE ÁGUA DE EDIFICAÇÃO QUE POSSUA RESERVATÓRIO DE FIBRA/FIBROCIMENTO   FORNECIMENTO E INSTALAÇÃO. AF_06/2016</t>
  </si>
  <si>
    <t>1.193</t>
  </si>
  <si>
    <t>94714</t>
  </si>
  <si>
    <t>ADAPTADOR COM FLANGES LIVRES, PVC, SOLDÁVEL, DN 85 MM X 3 , INSTALADO EM RESERVAÇÃO DE ÁGUA DE EDIFICAÇÃO QUE POSSUA RESERVATÓRIO DE FIBRA/FIBROCIMENTO   FORNECIMENTO E INSTALAÇÃO. AF_06/2016</t>
  </si>
  <si>
    <t>1.194</t>
  </si>
  <si>
    <t>89376</t>
  </si>
  <si>
    <t>ADAPTADOR CURTO COM BOLSA E ROSCA PARA REGISTRO, PVC, SOLDÁVEL, DN 20MM X 1/2 , INSTALADO EM RAMAL OU SUB-RAMAL DE ÁGUA - FORNECIMENTO E INSTALAÇÃO. AF_06/2022</t>
  </si>
  <si>
    <t>1.195</t>
  </si>
  <si>
    <t>89383</t>
  </si>
  <si>
    <t>ADAPTADOR CURTO COM BOLSA E ROSCA PARA REGISTRO, PVC, SOLDÁVEL, DN 25MM X 3/4 , INSTALADO EM RAMAL OU SUB-RAMAL DE ÁGUA - FORNECIMENTO E INSTALAÇÃO. AF_06/2022</t>
  </si>
  <si>
    <t>1.196</t>
  </si>
  <si>
    <t>104002</t>
  </si>
  <si>
    <t>ADAPTADOR CURTO COM BOLSA E ROSCA PARA REGISTRO, PVC, SOLDÁVEL, DN 50MM X 1.1/4", INSTALADO EM RAMAL DE DISTRIBUIÇÃO DE ÁGUA - FORNECIMENTO E INSTALAÇÃO. AF_06/2022</t>
  </si>
  <si>
    <t>1.197</t>
  </si>
  <si>
    <t>89613</t>
  </si>
  <si>
    <t>ADAPTADOR CURTO COM BOLSA E ROSCA PARA REGISTRO, PVC, SOLDÁVEL, DN 75MM X 2.1/2", INSTALADO EM PRUMADA DE ÁGUA - FORNECIMENTO E INSTALAÇÃO. AF_12/2014</t>
  </si>
  <si>
    <t>1.198</t>
  </si>
  <si>
    <t>89616</t>
  </si>
  <si>
    <t>ADAPTADOR CURTO COM BOLSA E ROSCA PARA REGISTRO, PVC, SOLDÁVEL, DN 85MM X 3 , INSTALADO EM PRUMADA DE ÁGUA - FORNECIMENTO E INSTALAÇÃO. AF_06/2022</t>
  </si>
  <si>
    <t>1.199</t>
  </si>
  <si>
    <t>89605</t>
  </si>
  <si>
    <t>LUVA DE REDUÇÃO, PVC, SOLDÁVEL, DN 60MM X 50MM, INSTALADO EM PRUMADA DE ÁGUA - FORNECIMENTO E INSTALAÇÃO. AF_06/2022</t>
  </si>
  <si>
    <t>1.200</t>
  </si>
  <si>
    <t>FNDE 205</t>
  </si>
  <si>
    <t>BUCHA DE REDUÇÃO, CURTA, PVC, SOLDÁVEL, DN 75 X 60 MM, INSTALADO EM PRUMADA DE ÁGUA - FORNECIMENTO E INSTALAÇÃO</t>
  </si>
  <si>
    <t>1.201</t>
  </si>
  <si>
    <t>FNDE 229</t>
  </si>
  <si>
    <t>BUCHA DE REDUÇÃO, CURTA, PVC, SOLDÁVEL, DN 85 X 75 MM, INSTALADO EM PRUMADA DE ÁGUA - FORNECIMENTO E INSTALAÇÃO</t>
  </si>
  <si>
    <t>1.202</t>
  </si>
  <si>
    <t>103998</t>
  </si>
  <si>
    <t>LUVA DE REDUÇÃO, PVC, SOLDÁVEL, DN 50MM X 25MM, INSTALADO EM RAMAL DE DISTRIBUIÇÃO DE ÁGUA   FORNECIMENTO E INSTALAÇÃO. AF_06/2022</t>
  </si>
  <si>
    <t>1.203</t>
  </si>
  <si>
    <t>103969</t>
  </si>
  <si>
    <t>BUCHA DE REDUÇÃO, LONGA, PVC, SOLDÁVEL, DN 60 X 32 MM, INSTALADO EM PRUMADA DE ÁGUA - FORNECIMENTO E INSTALAÇÃO. AF_06/2022</t>
  </si>
  <si>
    <t>1.204</t>
  </si>
  <si>
    <t>103972</t>
  </si>
  <si>
    <t>BUCHA DE REDUÇÃO, LONGA, PVC, SOLDÁVEL, DN 75 X 50 MM, INSTALADO EM PRUMADA DE ÁGUA - FORNECIMENTO E INSTALAÇÃO. AF_06/2022</t>
  </si>
  <si>
    <t>1.205</t>
  </si>
  <si>
    <t>89485</t>
  </si>
  <si>
    <t>JOELHO 45 GRAUS, PVC, SOLDÁVEL, DN 25MM, INSTALADO EM PRUMADA DE ÁGUA - FORNECIMENTO E INSTALAÇÃO. AF_06/2022</t>
  </si>
  <si>
    <t>1.206</t>
  </si>
  <si>
    <t>89502</t>
  </si>
  <si>
    <t>JOELHO 45 GRAUS, PVC, SOLDÁVEL, DN 50MM, INSTALADO EM PRUMADA DE ÁGUA - FORNECIMENTO E INSTALAÇÃO. AF_06/2022</t>
  </si>
  <si>
    <t>1.207</t>
  </si>
  <si>
    <t>89515</t>
  </si>
  <si>
    <t>JOELHO 45 GRAUS, PVC, SOLDÁVEL, DN 75MM, INSTALADO EM PRUMADA DE ÁGUA - FORNECIMENTO E INSTALAÇÃO. AF_06/2022</t>
  </si>
  <si>
    <t>1.208</t>
  </si>
  <si>
    <t>89523</t>
  </si>
  <si>
    <t>JOELHO 45 GRAUS, PVC, SOLDÁVEL, DN 85MM, INSTALADO EM PRUMADA DE ÁGUA - FORNECIMENTO E INSTALAÇÃO. AF_06/2022</t>
  </si>
  <si>
    <t>1.209</t>
  </si>
  <si>
    <t>89358</t>
  </si>
  <si>
    <t>JOELHO 90 GRAUS, PVC, SOLDÁVEL, DN 20MM, INSTALADO EM RAMAL OU SUB-RAMAL DE ÁGUA - FORNECIMENTO E INSTALAÇÃO. AF_06/2022</t>
  </si>
  <si>
    <t>1.210</t>
  </si>
  <si>
    <t>1.211</t>
  </si>
  <si>
    <t>89501</t>
  </si>
  <si>
    <t>JOELHO 90 GRAUS, PVC, SOLDÁVEL, DN 50MM, INSTALADO EM PRUMADA DE ÁGUA - FORNECIMENTO E INSTALAÇÃO. AF_06/2022</t>
  </si>
  <si>
    <t>1.212</t>
  </si>
  <si>
    <t>89505</t>
  </si>
  <si>
    <t>JOELHO 90 GRAUS, PVC, SOLDÁVEL, DN 60MM, INSTALADO EM PRUMADA DE ÁGUA - FORNECIMENTO E INSTALAÇÃO. AF_06/2022</t>
  </si>
  <si>
    <t>1.213</t>
  </si>
  <si>
    <t>94682</t>
  </si>
  <si>
    <t>JOELHO 90 GRAUS, PVC, SOLDÁVEL, DN 75 MM INSTALADO EM RESERVAÇÃO DE ÁGUA DE EDIFICAÇÃO QUE POSSUA RESERVATÓRIO DE FIBRA/FIBROCIMENTO   FORNECIMENTO E INSTALAÇÃO. AF_06/2016</t>
  </si>
  <si>
    <t>1.214</t>
  </si>
  <si>
    <t>94684</t>
  </si>
  <si>
    <t>JOELHO 90 GRAUS, PVC, SOLDÁVEL, DN 85 MM INSTALADO EM RESERVAÇÃO DE ÁGUA DE EDIFICAÇÃO QUE POSSUA RESERVATÓRIO DE FIBRA/FIBROCIMENTO   FORNECIMENTO E INSTALAÇÃO. AF_06/2016</t>
  </si>
  <si>
    <t>1.215</t>
  </si>
  <si>
    <t>90373</t>
  </si>
  <si>
    <t>JOELHO 90 GRAUS COM BUCHA DE LATÃO, PVC, SOLDÁVEL, DN 25MM, X 1/2  INSTALADO EM RAMAL OU SUB-RAMAL DE ÁGUA - FORNECIMENTO E INSTALAÇÃO. AF_06/2022</t>
  </si>
  <si>
    <t>1.216</t>
  </si>
  <si>
    <t>1.217</t>
  </si>
  <si>
    <t>89395</t>
  </si>
  <si>
    <t>TE, PVC, SOLDÁVEL, DN 25MM, INSTALADO EM RAMAL OU SUB-RAMAL DE ÁGUA - FORNECIMENTO E INSTALAÇÃO. AF_06/2022</t>
  </si>
  <si>
    <t>1.218</t>
  </si>
  <si>
    <t>89625</t>
  </si>
  <si>
    <t>TE, PVC, SOLDÁVEL, DN 50MM, INSTALADO EM PRUMADA DE ÁGUA - FORNECIMENTO E INSTALAÇÃO. AF_06/2022</t>
  </si>
  <si>
    <t>1.219</t>
  </si>
  <si>
    <t>89629</t>
  </si>
  <si>
    <t>TE, PVC, SOLDÁVEL, DN 75MM, INSTALADO EM PRUMADA DE ÁGUA - FORNECIMENTO E INSTALAÇÃO. AF_06/2022</t>
  </si>
  <si>
    <t>1.220</t>
  </si>
  <si>
    <t>89631</t>
  </si>
  <si>
    <t>TE, PVC, SOLDÁVEL, DN 85MM, INSTALADO EM PRUMADA DE ÁGUA - FORNECIMENTO E INSTALAÇÃO. AF_06/2022</t>
  </si>
  <si>
    <t>1.221</t>
  </si>
  <si>
    <t>89627</t>
  </si>
  <si>
    <t>TÊ DE REDUÇÃO, PVC, SOLDÁVEL, DN 50MM X 25MM, INSTALADO EM PRUMADA DE ÁGUA - FORNECIMENTO E INSTALAÇÃO. AF_06/2022</t>
  </si>
  <si>
    <t>1.222</t>
  </si>
  <si>
    <t>89630</t>
  </si>
  <si>
    <t>TE DE REDUÇÃO, PVC, SOLDÁVEL, DN 75MM X 50MM, INSTALADO EM PRUMADA DE ÁGUA - FORNECIMENTO E INSTALAÇÃO. AF_06/2022</t>
  </si>
  <si>
    <t>1.223</t>
  </si>
  <si>
    <t>1.224</t>
  </si>
  <si>
    <t>FNDE 208</t>
  </si>
  <si>
    <t>TÊ DE REDUÇÃO, PVC, SOLDÁVEL, DN 75MM X 60 MM, INSTALADO EM PRUMADA DE ÁGUA - FORNECIMENTO E INSTALAÇÃO.</t>
  </si>
  <si>
    <t>1.225</t>
  </si>
  <si>
    <t>90374</t>
  </si>
  <si>
    <t>TÊ COM BUCHA DE LATÃO NA BOLSA CENTRAL, PVC, SOLDÁVEL, DN 25MM X 3/4 , INSTALADO EM RAMAL OU SUB-RAMAL DE ÁGUA - FORNECIMENTO E INSTALAÇÃO. AF_06/2022</t>
  </si>
  <si>
    <t>1.226</t>
  </si>
  <si>
    <t>89396</t>
  </si>
  <si>
    <t>TÊ COM BUCHA DE LATÃO NA BOLSA CENTRAL, PVC, SOLDÁVEL, DN 25MM X 1/2 , INSTALADO EM RAMAL OU SUB-RAMAL DE ÁGUA - FORNECIMENTO E INSTALAÇÃO. AF_06/2022</t>
  </si>
  <si>
    <t>1.227</t>
  </si>
  <si>
    <t>94499</t>
  </si>
  <si>
    <t>REGISTRO DE GAVETA BRUTO, LATÃO, ROSCÁVEL, 2 1/2" - FORNECIMENTO E INSTALAÇÃO. AF_08/2021</t>
  </si>
  <si>
    <t>1.228</t>
  </si>
  <si>
    <t>94500</t>
  </si>
  <si>
    <t>REGISTRO DE GAVETA BRUTO, LATÃO, ROSCÁVEL, 3" - FORNECIMENTO E INSTALAÇÃO. AF_08/2021</t>
  </si>
  <si>
    <t>1.229</t>
  </si>
  <si>
    <t>89986</t>
  </si>
  <si>
    <t>REGISTRO DE GAVETA BRUTO, LATÃO, ROSCÁVEL, 1/2", COM ACABAMENTO E CANOPLA CROMADOS - FORNECIMENTO E INSTALAÇÃO. AF_08/2021</t>
  </si>
  <si>
    <t>1.230</t>
  </si>
  <si>
    <t>94794</t>
  </si>
  <si>
    <t>REGISTRO DE GAVETA BRUTO, LATÃO, ROSCÁVEL, 1 1/2", COM ACABAMENTO E CANOPLA CROMADOS - FORNECIMENTO E INSTALAÇÃO. AF_08/2021</t>
  </si>
  <si>
    <t>1.231</t>
  </si>
  <si>
    <t>89987</t>
  </si>
  <si>
    <t>REGISTRO DE GAVETA BRUTO, LATÃO, ROSCÁVEL, 3/4", COM ACABAMENTO E CANOPLA CROMADOS - FORNECIMENTO E INSTALAÇÃO. AF_08/2021</t>
  </si>
  <si>
    <t>1.232</t>
  </si>
  <si>
    <t>89985</t>
  </si>
  <si>
    <t>REGISTRO DE PRESSÃO BRUTO, LATÃO, ROSCÁVEL, 3/4", COM ACABAMENTO E CANOPLA CROMADOS - FORNECIMENTO E INSTALAÇÃO. AF_08/2021</t>
  </si>
  <si>
    <t>1.233</t>
  </si>
  <si>
    <t>FNDE 391</t>
  </si>
  <si>
    <t>RESERVATÓRIO CILINDRICO CAP. 15.000 LITROS</t>
  </si>
  <si>
    <t>1.234</t>
  </si>
  <si>
    <t>89578</t>
  </si>
  <si>
    <t>TUBO PVC, SÉRIE R, ÁGUA PLUVIAL, DN 100 MM, FORNECIDO E INSTALADO EM CONDUTORES VERTICAIS DE ÁGUAS PLUVIAIS. AF_06/2022</t>
  </si>
  <si>
    <t>13</t>
  </si>
  <si>
    <t>DRENAGEM DE ÁGUAS PLUVIAIS</t>
  </si>
  <si>
    <t>1.235</t>
  </si>
  <si>
    <t>89580</t>
  </si>
  <si>
    <t>TUBO PVC, SÉRIE R, ÁGUA PLUVIAL, DN 150 MM, FORNECIDO E INSTALADO EM CONDUTORES VERTICAIS DE ÁGUAS PLUVIAIS. AF_06/2022</t>
  </si>
  <si>
    <t>1.236</t>
  </si>
  <si>
    <t>89585</t>
  </si>
  <si>
    <t>JOELHO 45 GRAUS, PVC, SERIE R, ÁGUA PLUVIAL, DN 100 MM, JUNTA ELÁSTICA, FORNECIDO E INSTALADO EM CONDUTORES VERTICAIS DE ÁGUAS PLUVIAIS. AF_06/2022</t>
  </si>
  <si>
    <t>1.237</t>
  </si>
  <si>
    <t>89567</t>
  </si>
  <si>
    <t>JUNÇÃO SIMPLES, PVC, SERIE R, ÁGUA PLUVIAL, DN 100 X 100 MM, JUNTA ELÁSTICA, FORNECIDO E INSTALADO EM RAMAL DE ENCAMINHAMENTO. AF_06/2022</t>
  </si>
  <si>
    <t>1.238</t>
  </si>
  <si>
    <t>89675</t>
  </si>
  <si>
    <t>TÊ DE INSPEÇÃO, PVC, SERIE R, ÁGUA PLUVIAL, DN 100 MM, JUNTA ELÁSTICA, FORNECIDO E INSTALADO EM CONDUTORES VERTICAIS DE ÁGUAS PLUVIAIS. AF_06/2022</t>
  </si>
  <si>
    <t>1.239</t>
  </si>
  <si>
    <t>99253</t>
  </si>
  <si>
    <t>CAIXA ENTERRADA HIDRÁULICA RETANGULAR EM ALVENARIA COM TIJOLOS CERÂMICOS MACIÇOS, DIMENSÕES INTERNAS: 0,6X0,6X0,6 M PARA REDE DE DRENAGEM. AF_12/2020</t>
  </si>
  <si>
    <t>1.240</t>
  </si>
  <si>
    <t>89482</t>
  </si>
  <si>
    <t>CAIXA SIFONADA, PVC, DN 100 X 100 X 50 MM, FORNECIDA E INSTALADA EM RAMAIS DE ENCAMINHAMENTO DE ÁGUA PLUVIAL. AF_06/2022</t>
  </si>
  <si>
    <t>1.241</t>
  </si>
  <si>
    <t>89714</t>
  </si>
  <si>
    <t>TUBO PVC, SERIE NORMAL, ESGOTO PREDIAL, DN 100 MM, FORNECIDO E INSTALADO EM RAMAL DE DESCARGA OU RAMAL DE ESGOTO SANITÁRIO. AF_08/2022</t>
  </si>
  <si>
    <t>14</t>
  </si>
  <si>
    <t>INSTALAÇÃO SANITÁRIA</t>
  </si>
  <si>
    <t>1.242</t>
  </si>
  <si>
    <t>89711</t>
  </si>
  <si>
    <t>TUBO PVC, SERIE NORMAL, ESGOTO PREDIAL, DN 40 MM, FORNECIDO E INSTALADO EM RAMAL DE DESCARGA OU RAMAL DE ESGOTO SANITÁRIO. AF_08/2022</t>
  </si>
  <si>
    <t>1.243</t>
  </si>
  <si>
    <t>89712</t>
  </si>
  <si>
    <t>TUBO PVC, SERIE NORMAL, ESGOTO PREDIAL, DN 50 MM, FORNECIDO E INSTALADO EM RAMAL DE DESCARGA OU RAMAL DE ESGOTO SANITÁRIO. AF_08/2022</t>
  </si>
  <si>
    <t>1.244</t>
  </si>
  <si>
    <t>89713</t>
  </si>
  <si>
    <t>TUBO PVC, SERIE NORMAL, ESGOTO PREDIAL, DN 75 MM, FORNECIDO E INSTALADO EM RAMAL DE DESCARGA OU RAMAL DE ESGOTO SANITÁRIO. AF_08/2022</t>
  </si>
  <si>
    <t>1.245</t>
  </si>
  <si>
    <t>89726</t>
  </si>
  <si>
    <t>JOELHO 45 GRAUS, PVC, SERIE NORMAL, ESGOTO PREDIAL, DN 40 MM, JUNTA SOLDÁVEL, FORNECIDO E INSTALADO EM RAMAL DE DESCARGA OU RAMAL DE ESGOTO SANITÁRIO. AF_08/2022</t>
  </si>
  <si>
    <t>1.246</t>
  </si>
  <si>
    <t>89732</t>
  </si>
  <si>
    <t>JOELHO 45 GRAUS, PVC, SERIE NORMAL, ESGOTO PREDIAL, DN 50 MM, JUNTA ELÁSTICA, FORNECIDO E INSTALADO EM RAMAL DE DESCARGA OU RAMAL DE ESGOTO SANITÁRIO. AF_08/2022</t>
  </si>
  <si>
    <t>1.247</t>
  </si>
  <si>
    <t>89739</t>
  </si>
  <si>
    <t>JOELHO 45 GRAUS, PVC, SERIE NORMAL, ESGOTO PREDIAL, DN 75 MM, JUNTA ELÁSTICA, FORNECIDO E INSTALADO EM RAMAL DE DESCARGA OU RAMAL DE ESGOTO SANITÁRIO. AF_08/2022</t>
  </si>
  <si>
    <t>1.248</t>
  </si>
  <si>
    <t>89746</t>
  </si>
  <si>
    <t>JOELHO 45 GRAUS, PVC, SERIE NORMAL, ESGOTO PREDIAL, DN 100 MM, JUNTA ELÁSTICA, FORNECIDO E INSTALADO EM RAMAL DE DESCARGA OU RAMAL DE ESGOTO SANITÁRIO. AF_08/2022</t>
  </si>
  <si>
    <t>1.249</t>
  </si>
  <si>
    <t>89744</t>
  </si>
  <si>
    <t>JOELHO 90 GRAUS, PVC, SERIE NORMAL, ESGOTO PREDIAL, DN 100 MM, JUNTA ELÁSTICA, FORNECIDO E INSTALADO EM RAMAL DE DESCARGA OU RAMAL DE ESGOTO SANITÁRIO. AF_08/2022</t>
  </si>
  <si>
    <t>1.250</t>
  </si>
  <si>
    <t>89737</t>
  </si>
  <si>
    <t>JOELHO 90 GRAUS, PVC, SERIE NORMAL, ESGOTO PREDIAL, DN 75 MM, JUNTA ELÁSTICA, FORNECIDO E INSTALADO EM RAMAL DE DESCARGA OU RAMAL DE ESGOTO SANITÁRIO. AF_08/2022</t>
  </si>
  <si>
    <t>1.251</t>
  </si>
  <si>
    <t>89731</t>
  </si>
  <si>
    <t>JOELHO 90 GRAUS, PVC, SERIE NORMAL, ESGOTO PREDIAL, DN 50 MM, JUNTA ELÁSTICA, FORNECIDO E INSTALADO EM RAMAL DE DESCARGA OU RAMAL DE ESGOTO SANITÁRIO. AF_08/2022</t>
  </si>
  <si>
    <t>1.252</t>
  </si>
  <si>
    <t>89724</t>
  </si>
  <si>
    <t>JOELHO 90 GRAUS, PVC, SERIE NORMAL, ESGOTO PREDIAL, DN 40 MM, JUNTA SOLDÁVEL, FORNECIDO E INSTALADO EM RAMAL DE DESCARGA OU RAMAL DE ESGOTO SANITÁRIO. AF_08/2022</t>
  </si>
  <si>
    <t>1.253</t>
  </si>
  <si>
    <t>FNDE 209</t>
  </si>
  <si>
    <t>JUNÇÃO SIMPLES, PVC, SERIE NORMAL, ESGOTO PREDIAL, DN 100 X 50 MM, JUNTA ELÁSTICA, FORNECIDO E INSTALADO EM PRUMADA DE ESGOTO SANITÁRIO OU VENTILAÇÃO</t>
  </si>
  <si>
    <t>1.254</t>
  </si>
  <si>
    <t>89834</t>
  </si>
  <si>
    <t>JUNÇÃO SIMPLES, PVC, SERIE NORMAL, ESGOTO PREDIAL, DN 100 X 100 MM, JUNTA ELÁSTICA, FORNECIDO E INSTALADO EM PRUMADA DE ESGOTO SANITÁRIO OU VENTILAÇÃO. AF_08/2022</t>
  </si>
  <si>
    <t>1.255</t>
  </si>
  <si>
    <t>FNDE 210</t>
  </si>
  <si>
    <t>JUNÇÃO SIMPLES, PVC, SERIE NORMAL, ESGOTO PREDIAL, DN 75 X 50 MM, JUNTA ELÁSTICA, FORNECIDO E INSTALADO EM RAMAL DE DESCARGA OU RAMAL DE ESGOTO SANITÁRIO</t>
  </si>
  <si>
    <t>1.256</t>
  </si>
  <si>
    <t>89827</t>
  </si>
  <si>
    <t>JUNÇÃO SIMPLES, PVC, SERIE NORMAL, ESGOTO PREDIAL, DN 50 X 50 MM, JUNTA ELÁSTICA, FORNECIDO E INSTALADO EM PRUMADA DE ESGOTO SANITÁRIO OU VENTILAÇÃO. AF_08/2022</t>
  </si>
  <si>
    <t>1.257</t>
  </si>
  <si>
    <t>89557</t>
  </si>
  <si>
    <t>REDUÇÃO EXCÊNTRICA, PVC, SERIE R, ÁGUA PLUVIAL, DN 100 X 75 MM, JUNTA ELÁSTICA, FORNECIDO E INSTALADO EM RAMAL DE ENCAMINHAMENTO. AF_06/2022</t>
  </si>
  <si>
    <t>1.258</t>
  </si>
  <si>
    <t>1.259</t>
  </si>
  <si>
    <t>89708</t>
  </si>
  <si>
    <t>CAIXA SIFONADA, PVC, DN 150 X 185 X 75 MM, JUNTA ELÁSTICA, FORNECIDA E INSTALADA EM RAMAL DE DESCARGA OU EM RAMAL DE ESGOTO SANITÁRIO. AF_08/2022</t>
  </si>
  <si>
    <t>1.260</t>
  </si>
  <si>
    <t>89696</t>
  </si>
  <si>
    <t>TÊ, PVC, SERIE R, ÁGUA PLUVIAL, DN 100 X 75 MM, JUNTA ELÁSTICA, FORNECIDO E INSTALADO EM CONDUTORES VERTICAIS DE ÁGUAS PLUVIAIS. AF_06/2022</t>
  </si>
  <si>
    <t>1.261</t>
  </si>
  <si>
    <t>FNDE 214</t>
  </si>
  <si>
    <t>TÊ, PVC, SERIE R, ÁGUA PLUVIAL, DN 100 X 50 MM, JUNTA ELÁSTICA, FORNECIDO E INSTALADO EM CONDUTORES VERTICAIS DE ÁGUAS PLUVIAIS</t>
  </si>
  <si>
    <t>1.262</t>
  </si>
  <si>
    <t>89784</t>
  </si>
  <si>
    <t>TE, PVC, SERIE NORMAL, ESGOTO PREDIAL, DN 50 X 50 MM, JUNTA ELÁSTICA, FORNECIDO E INSTALADO EM RAMAL DE DESCARGA OU RAMAL DE ESGOTO SANITÁRIO. AF_08/2022</t>
  </si>
  <si>
    <t>1.263</t>
  </si>
  <si>
    <t>89687</t>
  </si>
  <si>
    <t>TÊ, PVC, SERIE R, ÁGUA PLUVIAL, DN 75 X 75 MM, JUNTA ELÁSTICA, FORNECIDO E INSTALADO EM CONDUTORES VERTICAIS DE ÁGUAS PLUVIAIS. AF_06/2022</t>
  </si>
  <si>
    <t>1.264</t>
  </si>
  <si>
    <t>89623</t>
  </si>
  <si>
    <t>TE, PVC, SOLDÁVEL, DN 40MM, INSTALADO EM PRUMADA DE ÁGUA - FORNECIMENTO E INSTALAÇÃO. AF_06/2022</t>
  </si>
  <si>
    <t>1.265</t>
  </si>
  <si>
    <t>89710</t>
  </si>
  <si>
    <t>RALO SECO, PVC, DN 100 X 40 MM, JUNTA SOLDÁVEL, FORNECIDO E INSTALADO EM RAMAL DE DESCARGA OU EM RAMAL DE ESGOTO SANITÁRIO. AF_08/2022</t>
  </si>
  <si>
    <t>1.266</t>
  </si>
  <si>
    <t>FNDE 50</t>
  </si>
  <si>
    <t>RALO LINEAR,  COM GRELHA INOX, JUNTA SOLDÁVEL, FORNECIDO E INSTALADO EM RAMAL DE DESCARGA OU EM RAMAL DE ESGOTO SANITÁRIO</t>
  </si>
  <si>
    <t>1.267</t>
  </si>
  <si>
    <t>104351</t>
  </si>
  <si>
    <t>TERMINAL DE VENTILAÇÃO, PVC, SÉRIE NORMAL, ESGOTO PREDIAL, DN 75 MM, JUNTA SOLDÁVEL, FORNECIDO E INSTALADO EM PRUMADA DE ESGOTO SANITÁRIO OU VENTILAÇÃO. AF_08/2022</t>
  </si>
  <si>
    <t>1.268</t>
  </si>
  <si>
    <t>104348</t>
  </si>
  <si>
    <t>TERMINAL DE VENTILAÇÃO, PVC, SÉRIE NORMAL, ESGOTO PREDIAL, DN 50 MM, JUNTA SOLDÁVEL, FORNECIDO E INSTALADO EM PRUMADA DE ESGOTO SANITÁRIO OU VENTILAÇÃO. AF_08/2022</t>
  </si>
  <si>
    <t>1.269</t>
  </si>
  <si>
    <t>104341</t>
  </si>
  <si>
    <t>BUCHA DE REDUÇÃO LONGA, PVC, SÉRIE NORMAL, ESGOTO PREDIAL, DN 50 X 40 MM, JUNTA SOLDÁVEL E ELÁSTICA, FORNECIDO E INSTALADO EM RAMAL DE DESCARGA OU RAMAL DE ESGOTO SANITÁRIO. AF_08/2022</t>
  </si>
  <si>
    <t>1.270</t>
  </si>
  <si>
    <t>98087</t>
  </si>
  <si>
    <t>TANQUE SÉPTICO RETANGULAR, EM ALVENARIA COM BLOCOS DE CONCRETO, DIMENSÕES INTERNAS: 1,6 X 4,6 X H=2,4 M, VOLUME ÚTIL: 14720 L (PARA 105 CONTRIBUINTES). AF_12/2020</t>
  </si>
  <si>
    <t>1.271</t>
  </si>
  <si>
    <t>98065</t>
  </si>
  <si>
    <t>SUMIDOURO CIRCULAR, EM CONCRETO PRÉ-MOLDADO, DIÂMETRO INTERNO = 2,88 M, ALTURA INTERNA = 3,0 M, ÁREA DE INFILTRAÇÃO: 31,4 M² (PARA 12 CONTRIBUINTES). AF_12/2020_PA</t>
  </si>
  <si>
    <t>1.272</t>
  </si>
  <si>
    <t>98090</t>
  </si>
  <si>
    <t>FILTRO ANAERÓBIO RETANGULAR, EM ALVENARIA COM BLOCOS DE CONCRETO, DIMENSÕES INTERNAS: 1,4 X 3,0 X H=1,67 M, VOLUME ÚTIL: 5040 L (PARA 32 CONTRIBUINTES). AF_12/2020</t>
  </si>
  <si>
    <t>1.273</t>
  </si>
  <si>
    <t>95470</t>
  </si>
  <si>
    <t>VASO SANITARIO SIFONADO CONVENCIONAL COM LOUÇA BRANCA, INCLUSO CONJUNTO DE LIGAÇÃO PARA BACIA SANITÁRIA AJUSTÁVEL - FORNECIMENTO E INSTALAÇÃO. AF_10/2016</t>
  </si>
  <si>
    <t>15</t>
  </si>
  <si>
    <t>LOUÇAS, ACESSÓRIOS E METAIS</t>
  </si>
  <si>
    <t>1.274</t>
  </si>
  <si>
    <t>100848</t>
  </si>
  <si>
    <t>VASO SANITÁRIO INFANTIL LOUÇA BRANCA - FORNECIMENTO E INSTALACAO. AF_01/2020</t>
  </si>
  <si>
    <t>1.275</t>
  </si>
  <si>
    <t>100849</t>
  </si>
  <si>
    <t>ASSENTO SANITÁRIO CONVENCIONAL - FORNECIMENTO E INSTALACAO. AF_01/2020</t>
  </si>
  <si>
    <t>1.276</t>
  </si>
  <si>
    <t>100851</t>
  </si>
  <si>
    <t>ASSENTO SANITÁRIO INFANTIL - FORNECIMENTO E INSTALACAO. AF_01/2020</t>
  </si>
  <si>
    <t>1.277</t>
  </si>
  <si>
    <t>FNDE 11</t>
  </si>
  <si>
    <t>BANHEIRA PLÁSTICA RÍGIDA, 77x45x20cm DE EMBUTIR, CONFORME DETALHE DE PROJETO</t>
  </si>
  <si>
    <t>1.278</t>
  </si>
  <si>
    <t>FNDE 219</t>
  </si>
  <si>
    <t>LAVATÓRIO DE CANTO, LOUÇA BRANCA SUSPENSO, 29,5 X 39CM OU EQUIVALENTE, PADRÃO POPULAR - FORNECIMENTO E INSTALAÇÃO</t>
  </si>
  <si>
    <t>1.279</t>
  </si>
  <si>
    <t>86901</t>
  </si>
  <si>
    <t>CUBA DE EMBUTIR OVAL EM LOUÇA BRANCA, 35 X 50CM OU EQUIVALENTE - FORNECIMENTO E INSTALAÇÃO. AF_01/2020</t>
  </si>
  <si>
    <t>1.280</t>
  </si>
  <si>
    <t>86902</t>
  </si>
  <si>
    <t>LAVATÓRIO LOUÇA BRANCA COM COLUNA, *44 X 35,5* CM, PADRÃO POPULAR - FORNECIMENTO E INSTALAÇÃO. AF_01/2020</t>
  </si>
  <si>
    <t>1.281</t>
  </si>
  <si>
    <t>86872</t>
  </si>
  <si>
    <t>TANQUE DE LOUÇA BRANCA COM COLUNA, 30L OU EQUIVALENTE - FORNECIMENTO E INSTALAÇÃO. AF_01/2020</t>
  </si>
  <si>
    <t>1.282</t>
  </si>
  <si>
    <t>86900</t>
  </si>
  <si>
    <t>CUBA DE EMBUTIR RETANGULAR DE AÇO INOXIDÁVEL, 46 X 30 X 12 CM - FORNECIMENTO E INSTALAÇÃO. AF_01/2020</t>
  </si>
  <si>
    <t>1.283</t>
  </si>
  <si>
    <t>FNDE 217</t>
  </si>
  <si>
    <t>CUBA DE EMBUTIR RETANGULAR DE AÇO INOXIDÁVEL, 50 X 40 X 20 CM - FORNECIMENTO E INSTALAÇÃO</t>
  </si>
  <si>
    <t>1.284</t>
  </si>
  <si>
    <t>100852</t>
  </si>
  <si>
    <t>CUBA DE EMBUTIR RETANGULAR DE AÇO INOXIDÁVEL, 56 X 33 X 12 CM - FORNECIMENTO E INSTALAÇÃO. AF_01/2020</t>
  </si>
  <si>
    <t>1.285</t>
  </si>
  <si>
    <t>86877</t>
  </si>
  <si>
    <t>VÁLVULA EM METAL CROMADO 1.1/2" X 1.1/2" PARA TANQUE OU LAVATÓRIO, COM OU SEM LADRÃO - FORNECIMENTO E INSTALAÇÃO. AF_01/2020</t>
  </si>
  <si>
    <t>1.286</t>
  </si>
  <si>
    <t>86883</t>
  </si>
  <si>
    <t>SIFÃO DO TIPO FLEXÍVEL EM PVC 1  X 1.1/2  - FORNECIMENTO E INSTALAÇÃO. AF_01/2020</t>
  </si>
  <si>
    <t>1.287</t>
  </si>
  <si>
    <t>86909</t>
  </si>
  <si>
    <t>TORNEIRA CROMADA TUBO MÓVEL, DE MESA, 1/2" OU 3/4", PARA PIA DE COZINHA, PADRÃO ALTO - FORNECIMENTO E INSTALAÇÃO. AF_01/2020</t>
  </si>
  <si>
    <t>1.288</t>
  </si>
  <si>
    <t>FNDE 224</t>
  </si>
  <si>
    <t>TORNEIRA CROMADA DE MESA, 1/2? OU 3/4?, PARA LAVATÓRIO, COM TEMPORIZADOR - FORNECIMENTO E INSTALAÇÃO.</t>
  </si>
  <si>
    <t>1.289</t>
  </si>
  <si>
    <t>FNDE 14</t>
  </si>
  <si>
    <t>TORNEIRA ELETRICA DE PAREDE, BICA ALTA, PARA COZINHA, 5500 W (110/220 V)</t>
  </si>
  <si>
    <t>1.290</t>
  </si>
  <si>
    <t>86913</t>
  </si>
  <si>
    <t>TORNEIRA CROMADA 1/2" OU 3/4" PARA TANQUE, PADRÃO POPULAR - FORNECIMENTO E INSTALAÇÃO. AF_01/2020</t>
  </si>
  <si>
    <t>1.291</t>
  </si>
  <si>
    <t>FNDE 225</t>
  </si>
  <si>
    <t>TORNEIRA CROMADA DE MESA PARA LAVATORIO, TIPO MONOCOMANDO - ACIONAMENTO TIPO ALAVANCA</t>
  </si>
  <si>
    <t>1.292</t>
  </si>
  <si>
    <t>FNDE 13</t>
  </si>
  <si>
    <t>TORNEIRA ELÉTRICA COM MANGUEIRA PLÁSTICA FORTTI MAXI, LORENZETTIOU EQUIVALENTE</t>
  </si>
  <si>
    <t>1.293</t>
  </si>
  <si>
    <t>86887</t>
  </si>
  <si>
    <t>ENGATE FLEXÍVEL EM INOX, 1/2  X 40CM - FORNECIMENTO E INSTALAÇÃO. AF_01/2020</t>
  </si>
  <si>
    <t>1.294</t>
  </si>
  <si>
    <t>100860</t>
  </si>
  <si>
    <t>CHUVEIRO ELÉTRICO COMUM CORPO PLÁSTICO, TIPO DUCHA - FORNECIMENTO E INSTALAÇÃO. AF_01/2020</t>
  </si>
  <si>
    <t>1.295</t>
  </si>
  <si>
    <t>FNDE 226</t>
  </si>
  <si>
    <t>BARRA DE APOIO RETA, EM ACO INOX POLIDO, COMPRIMENTO 40CM, FIXADA NA PAREDE - FORNECIMENTO E INSTALAÇÃO</t>
  </si>
  <si>
    <t>1.296</t>
  </si>
  <si>
    <t>100868</t>
  </si>
  <si>
    <t>BARRA DE APOIO RETA, EM ACO INOX POLIDO, COMPRIMENTO 80 CM,  FIXADA NA PAREDE - FORNECIMENTO E INSTALAÇÃO. AF_01/2020</t>
  </si>
  <si>
    <t>1.297</t>
  </si>
  <si>
    <t>100875</t>
  </si>
  <si>
    <t>BANCO ARTICULADO, EM ACO INOX, PARA PCD, FIXADO NA PAREDE - FORNECIMENTO E INSTALAÇÃO. AF_01/2020</t>
  </si>
  <si>
    <t>1.298</t>
  </si>
  <si>
    <t>FNDE 215</t>
  </si>
  <si>
    <t>VÁLVULA DE DESCARGA METÁLICA, DUPLO ACIONAMENTO ECO, BASE 1 1/2", ACABAMENTO METALICO CROMADO - FORNECIMENTO E INSTALAÇÃO</t>
  </si>
  <si>
    <t>1.299</t>
  </si>
  <si>
    <t>FNDE 15</t>
  </si>
  <si>
    <t>TOALHEIRO PLASTICO TIPO DISPENSER PARA PAPEL TOALHA INTERFOLHADO</t>
  </si>
  <si>
    <t>1.300</t>
  </si>
  <si>
    <t>FNDE 16</t>
  </si>
  <si>
    <t>PAPELEIRA PLASTICA TIPO DISPENSER PARA PAPEL HIGIENICO ROLAO</t>
  </si>
  <si>
    <t>1.301</t>
  </si>
  <si>
    <t>95547</t>
  </si>
  <si>
    <t>SABONETEIRA PLASTICA TIPO DISPENSER PARA SABONETE LIQUIDO COM RESERVATORIO 800 A 1500 ML, INCLUSO FIXAÇÃO. AF_01/2020</t>
  </si>
  <si>
    <t>1.302</t>
  </si>
  <si>
    <t>FNDE 12</t>
  </si>
  <si>
    <t>ESPELHO CRISTAL, ESPESSURA 4MM, COM PARAFUSOS DE FIXAÇÃO, SEM MOLDURA</t>
  </si>
  <si>
    <t>1.303</t>
  </si>
  <si>
    <t>FNDE 17</t>
  </si>
  <si>
    <t>DUCHA / CHUVEIRO METALICO, DE PAREDE, ARTICULAVEL, COM DESVIADOR E DUCHA MANUAL</t>
  </si>
  <si>
    <t>1.304</t>
  </si>
  <si>
    <t>FNDE 34</t>
  </si>
  <si>
    <t>CABIDE/GANCHO DE BANHEIRO SIMPLES EM METAL CROMADO</t>
  </si>
  <si>
    <t>1.305</t>
  </si>
  <si>
    <t>FNDE 449</t>
  </si>
  <si>
    <t>BARRA METÁLICA COM PINTURA CINZA PARA PROTEÇÃO DOS ESPELHOS E CHUVEIRO INFANTIL</t>
  </si>
  <si>
    <t>1.306</t>
  </si>
  <si>
    <t>FNDE 29</t>
  </si>
  <si>
    <t>REGULADOR DE ALTA PRESSÃO GLP</t>
  </si>
  <si>
    <t>16</t>
  </si>
  <si>
    <t>INSTALAÇÃO DE GÁS COMBUSTÍVEL</t>
  </si>
  <si>
    <t>1.307</t>
  </si>
  <si>
    <t>103029</t>
  </si>
  <si>
    <t>REGISTRO OU REGULADOR DE GÁS DE COZINHA - FORNECIMENTO E INSTALAÇÃO. AF_08/2021</t>
  </si>
  <si>
    <t>1.308</t>
  </si>
  <si>
    <t>92688</t>
  </si>
  <si>
    <t>TUBO DE AÇO GALVANIZADO COM COSTURA, CLASSE MÉDIA, CONEXÃO ROSQUEADA, DN 20 (3/4"), INSTALADO EM RAMAIS E SUB-RAMAIS DE GÁS - FORNECIMENTO E INSTALAÇÃO. AF_10/2020</t>
  </si>
  <si>
    <t>1.309</t>
  </si>
  <si>
    <t>FNDE 301</t>
  </si>
  <si>
    <t>CAP OU TAMPAO DE FERRO GALVANIZADO, COM ROSCA BSP, DE 3/4"</t>
  </si>
  <si>
    <t>1.310</t>
  </si>
  <si>
    <t>FNDE 260</t>
  </si>
  <si>
    <t>MANGUEIRA PARA GAS - GLP</t>
  </si>
  <si>
    <t>1.311</t>
  </si>
  <si>
    <t>95248</t>
  </si>
  <si>
    <t>VÁLVULA DE ESFERA BRUTA, BRONZE, ROSCÁVEL, 1/2" - FORNECIMENTO E INSTALAÇÃO. AF_08/2021</t>
  </si>
  <si>
    <t>1.312</t>
  </si>
  <si>
    <t>95249</t>
  </si>
  <si>
    <t>VÁLVULA DE ESFERA BRUTA, BRONZE, ROSCÁVEL, 3/4'' - FORNECIMENTO E INSTALAÇÃO. AF_08/2021</t>
  </si>
  <si>
    <t>1.313</t>
  </si>
  <si>
    <t>92705</t>
  </si>
  <si>
    <t>TÊ, EM FERRO GALVANIZADO, CONEXÃO ROSQUEADA, DN 20 (3/4"), INSTALADO EM RAMAIS E SUB-RAMAIS DE GÁS - FORNECIMENTO E INSTALAÇÃO. AF_10/2020</t>
  </si>
  <si>
    <t>1.314</t>
  </si>
  <si>
    <t>92695</t>
  </si>
  <si>
    <t>LUVA, EM FERRO GALVANIZADO, CONEXÃO ROSQUEADA, DN 20 (3/4"), INSTALADO EM RAMAIS E SUB-RAMAIS DE GÁS - FORNECIMENTO E INSTALAÇÃO. AF_10/2020</t>
  </si>
  <si>
    <t>1.315</t>
  </si>
  <si>
    <t>97548</t>
  </si>
  <si>
    <t>CURVA 45 GRAUS, EM AÇO, CONEXÃO SOLDADA, DN 20 (3/4"), INSTALADO EM RAMAIS E SUB-RAMAIS DE GÁS - FORNECIMENTO E INSTALAÇÃO. AF_10/2020</t>
  </si>
  <si>
    <t>1.316</t>
  </si>
  <si>
    <t>97549</t>
  </si>
  <si>
    <t>CURVA 90 GRAUS, EM AÇO, CONEXÃO SOLDADA, DN 20 (3/4"), INSTALADO EM RAMAIS E SUB-RAMAIS DE GÁS - FORNECIMENTO E INSTALAÇÃO. AF_10/2020</t>
  </si>
  <si>
    <t>1.317</t>
  </si>
  <si>
    <t>97547</t>
  </si>
  <si>
    <t>CURVA 90 GRAUS, EM AÇO, CONEXÃO SOLDADA, DN 15 (1/2"), INSTALADO EM RAMAIS E SUB-RAMAIS DE GÁS - FORNECIMENTO E INSTALAÇÃO. AF_10/2020</t>
  </si>
  <si>
    <t>1.318</t>
  </si>
  <si>
    <t>FNDE 302</t>
  </si>
  <si>
    <t>REQUADRO EM ALUMÍNIO TIPO VENEZIANA COM GUARNIÇÃO, FIXAÇÃO COM PARAFUSOS - FORNECIMENTO E INSTALAÇÃO.</t>
  </si>
  <si>
    <t>1.319</t>
  </si>
  <si>
    <t>101909</t>
  </si>
  <si>
    <t>EXTINTOR DE INCÊNDIO PORTÁTIL COM CARGA DE PQS DE 6 KG, CLASSE BC - FORNECIMENTO E INSTALAÇÃO. AF_10/2020_PE</t>
  </si>
  <si>
    <t>17</t>
  </si>
  <si>
    <t>EXTINTORES</t>
  </si>
  <si>
    <t>1.320</t>
  </si>
  <si>
    <t>101907</t>
  </si>
  <si>
    <t>EXTINTOR DE INCÊNDIO PORTÁTIL COM CARGA DE CO2 DE 6 KG, CLASSE BC - FORNECIMENTO E INSTALAÇÃO. AF_10/2020_PE</t>
  </si>
  <si>
    <t>1.321</t>
  </si>
  <si>
    <t>101912</t>
  </si>
  <si>
    <t>ABRIGO PARA HIDRANTE, 75X45X17CM, COM REGISTRO GLOBO ANGULAR 45 GRAUS 2 1/2", ADAPTADOR STORZ 2 1/2", MANGUEIRA DE INCÊNDIO 15M 2 1/2" E ESGUICHO EM LATÃO 2 1/2" - FORNECIMENTO E INSTALAÇÃO. AF_10/2020</t>
  </si>
  <si>
    <t>1.322</t>
  </si>
  <si>
    <t>101916</t>
  </si>
  <si>
    <t>HIDRANTE SUBTERRÂNEO PREDIAL (COM CURVA LONGA E CAIXA), DN 75 MM - FORNECIMENTO E INSTALAÇÃO. AF_10/2020</t>
  </si>
  <si>
    <t>1.323</t>
  </si>
  <si>
    <t>1.324</t>
  </si>
  <si>
    <t>99624</t>
  </si>
  <si>
    <t>VÁLVULA DE RETENÇÃO HORIZONTAL, DE BRONZE, ROSCÁVEL, 2 1/2" - FORNECIMENTO E INSTALAÇÃO. AF_08/2021</t>
  </si>
  <si>
    <t>1.325</t>
  </si>
  <si>
    <t>101917</t>
  </si>
  <si>
    <t>MANÔMETRO 0 A 200 PSI (0 A 14 KGF/CM2), D = 50MM - FORNECIMENTO E INSTALAÇÃO. AF_10/2020</t>
  </si>
  <si>
    <t>1.326</t>
  </si>
  <si>
    <t>FNDE 332</t>
  </si>
  <si>
    <t>MOTOBOMBA CENTRIFUGA</t>
  </si>
  <si>
    <t>1.327</t>
  </si>
  <si>
    <t>FNDE 112</t>
  </si>
  <si>
    <t>PRESSOSTATO</t>
  </si>
  <si>
    <t>1.328</t>
  </si>
  <si>
    <t>FNDE 114</t>
  </si>
  <si>
    <t>VÁLVULA DE ALÍVIO</t>
  </si>
  <si>
    <t>1.329</t>
  </si>
  <si>
    <t>102111</t>
  </si>
  <si>
    <t>BOMBA CENTRÍFUGA, MONOFÁSICA, 0,5 CV OU 0,49 HP, HM 6 A 20 M, Q 1,2 A 8,3 M3/H - FORNECIMENTO E INSTALAÇÃO. AF_12/2020</t>
  </si>
  <si>
    <t>1.330</t>
  </si>
  <si>
    <t>FNDE 67</t>
  </si>
  <si>
    <t>CENTRAL ALARME ENDEREÇAVEL</t>
  </si>
  <si>
    <t>1.331</t>
  </si>
  <si>
    <t>94473</t>
  </si>
  <si>
    <t>COTOVELO 90 GRAUS, EM FERRO GALVANIZADO, CONEXÃO ROSQUEADA, DN 65 (2 1/2"), INSTALADO EM RESERVAÇÃO DE ÁGUA DE EDIFICAÇÃO QUE POSSUA RESERVATÓRIO DE FIBRA/FIBROCIMENTO - FORNECIMENTO E INSTALAÇÃO. AF_06/2016</t>
  </si>
  <si>
    <t>1.332</t>
  </si>
  <si>
    <t>92367</t>
  </si>
  <si>
    <t>TUBO DE AÇO GALVANIZADO COM COSTURA, CLASSE MÉDIA, DN 65 (2 1/2"), CONEXÃO ROSQUEADA, INSTALADO EM REDE DE ALIMENTAÇÃO PARA HIDRANTE - FORNECIMENTO E INSTALAÇÃO. AF_10/2020</t>
  </si>
  <si>
    <t>1.333</t>
  </si>
  <si>
    <t>94474</t>
  </si>
  <si>
    <t>COTOVELO 45 GRAUS, EM FERRO GALVANIZADO, CONEXÃO ROSQUEADA, DN 65 (2 1/2"), INSTALADO EM RESERVAÇÃO DE ÁGUA DE EDIFICAÇÃO QUE POSSUA RESERVATÓRIO DE FIBRA/FIBROCIMENTO - FORNECIMENTO E INSTALAÇÃO. AF_06/2016</t>
  </si>
  <si>
    <t>1.334</t>
  </si>
  <si>
    <t>92665</t>
  </si>
  <si>
    <t>NIPLE, EM FERRO GALVANIZADO, CONEXÃO ROSQUEADA, DN 65 (2 1/2"), INSTALADO EM REDE DE ALIMENTAÇÃO PARA SPRINKLER - FORNECIMENTO E INSTALAÇÃO. AF_10/2020</t>
  </si>
  <si>
    <t>1.335</t>
  </si>
  <si>
    <t>92642</t>
  </si>
  <si>
    <t>TÊ, EM FERRO GALVANIZADO, CONEXÃO ROSQUEADA, DN 65 (2 1/2"), INSTALADO EM REDE DE ALIMENTAÇÃO PARA HIDRANTE - FORNECIMENTO E INSTALAÇÃO. AF_10/2020</t>
  </si>
  <si>
    <t>1.336</t>
  </si>
  <si>
    <t>97599</t>
  </si>
  <si>
    <t>LUMINÁRIA DE EMERGÊNCIA, COM 30 LÂMPADAS LED DE 2 W, SEM REATOR - FORNECIMENTO E INSTALAÇÃO. AF_02/2020</t>
  </si>
  <si>
    <t>1.337</t>
  </si>
  <si>
    <t>FNDE 303</t>
  </si>
  <si>
    <t>SINALIZAÇÃO COM PLACA INDICATIVA FIXADA NA ESTRUTURA.</t>
  </si>
  <si>
    <t>1.338</t>
  </si>
  <si>
    <t>102520</t>
  </si>
  <si>
    <t>PINTURA DE SINALIZAÇÃO VERTICAL DE SEGURANÇA, FAIXAS AMARELA E PRETA, APLICAÇÃO MANUAL, 2 DEMÃOS. AF_05/2021</t>
  </si>
  <si>
    <t>1.339</t>
  </si>
  <si>
    <t>93653</t>
  </si>
  <si>
    <t>DISJUNTOR MONOPOLAR TIPO DIN, CORRENTE NOMINAL DE 10A - FORNECIMENTO E INSTALAÇÃO. AF_10/2020</t>
  </si>
  <si>
    <t>18</t>
  </si>
  <si>
    <t>INSTALAÇÃO ELÉTRICA - 220V</t>
  </si>
  <si>
    <t>1.340</t>
  </si>
  <si>
    <t>93654</t>
  </si>
  <si>
    <t>DISJUNTOR MONOPOLAR TIPO DIN, CORRENTE NOMINAL DE 16A - FORNECIMENTO E INSTALAÇÃO. AF_10/2020</t>
  </si>
  <si>
    <t>1.341</t>
  </si>
  <si>
    <t>93655</t>
  </si>
  <si>
    <t>DISJUNTOR MONOPOLAR TIPO DIN, CORRENTE NOMINAL DE 20A - FORNECIMENTO E INSTALAÇÃO. AF_10/2020</t>
  </si>
  <si>
    <t>1.342</t>
  </si>
  <si>
    <t>93658</t>
  </si>
  <si>
    <t>DISJUNTOR MONOPOLAR TIPO DIN, CORRENTE NOMINAL DE 40A - FORNECIMENTO E INSTALAÇÃO. AF_10/2020</t>
  </si>
  <si>
    <t>1.343</t>
  </si>
  <si>
    <t>93668</t>
  </si>
  <si>
    <t>DISJUNTOR TRIPOLAR TIPO DIN, CORRENTE NOMINAL DE 16A - FORNECIMENTO E INSTALAÇÃO. AF_10/2020</t>
  </si>
  <si>
    <t>1.344</t>
  </si>
  <si>
    <t>93671</t>
  </si>
  <si>
    <t>DISJUNTOR TRIPOLAR TIPO DIN, CORRENTE NOMINAL DE 32A - FORNECIMENTO E INSTALAÇÃO. AF_10/2020</t>
  </si>
  <si>
    <t>1.346</t>
  </si>
  <si>
    <t>93672</t>
  </si>
  <si>
    <t>DISJUNTOR TRIPOLAR TIPO DIN, CORRENTE NOMINAL DE 40A - FORNECIMENTO E INSTALAÇÃO. AF_10/2020</t>
  </si>
  <si>
    <t>1.347</t>
  </si>
  <si>
    <t>93673</t>
  </si>
  <si>
    <t>DISJUNTOR TRIPOLAR TIPO DIN, CORRENTE NOMINAL DE 50A - FORNECIMENTO E INSTALAÇÃO. AF_10/2020</t>
  </si>
  <si>
    <t>1.348</t>
  </si>
  <si>
    <t>101894</t>
  </si>
  <si>
    <t>DISJUNTOR TRIPOLAR TIPO NEMA, CORRENTE NOMINAL DE 60 ATÉ 100A - FORNECIMENTO E INSTALAÇÃO. AF_10/2020</t>
  </si>
  <si>
    <t>1.349</t>
  </si>
  <si>
    <t>101897</t>
  </si>
  <si>
    <t>DISJUNTOR TERMOMAGNÉTICO TRIPOLAR , CORRENTE NOMINAL DE 250A - FORNECIMENTO E INSTALAÇÃO. AF_10/2020</t>
  </si>
  <si>
    <t>1.350</t>
  </si>
  <si>
    <t>FNDE 86</t>
  </si>
  <si>
    <t>DISJUNTOR BIPOLAR TIPO DR, CORRENTE NOMINAL DE 25A - 30mA</t>
  </si>
  <si>
    <t>1.351</t>
  </si>
  <si>
    <t>FNDE 87</t>
  </si>
  <si>
    <t>DISJUNTOR BIPOLAR TIPO DR, CORRENTE NOMINAL DE 40A - 30mA</t>
  </si>
  <si>
    <t>1.352</t>
  </si>
  <si>
    <t>FNDE 88</t>
  </si>
  <si>
    <t>DISPOSITIVO CONTRA SURTO - DPS 40 kA</t>
  </si>
  <si>
    <t>1.353</t>
  </si>
  <si>
    <t>FNDE 89</t>
  </si>
  <si>
    <t>DISPOSITIVO CONTRA SURTO - DPS 80 kA</t>
  </si>
  <si>
    <t>1.354</t>
  </si>
  <si>
    <t>91834</t>
  </si>
  <si>
    <t>ELETRODUTO FLEXÍVEL CORRUGADO, PVC, DN 25 MM (3/4"), PARA CIRCUITOS TERMINAIS, INSTALADO EM FORRO - FORNECIMENTO E INSTALAÇÃO. AF_03/2023</t>
  </si>
  <si>
    <t>1.355</t>
  </si>
  <si>
    <t>91836</t>
  </si>
  <si>
    <t>ELETRODUTO FLEXÍVEL CORRUGADO, PVC, DN 32 MM (1"), PARA CIRCUITOS TERMINAIS, INSTALADO EM FORRO - FORNECIMENTO E INSTALAÇÃO. AF_03/2023</t>
  </si>
  <si>
    <t>1.356</t>
  </si>
  <si>
    <t>93008</t>
  </si>
  <si>
    <t>ELETRODUTO RÍGIDO ROSCÁVEL, PVC, DN 50 MM (1 1/2"), PARA REDE ENTERRADA DE DISTRIBUIÇÃO DE ENERGIA ELÉTRICA - FORNECIMENTO E INSTALAÇÃO. AF_12/2021</t>
  </si>
  <si>
    <t>1.357</t>
  </si>
  <si>
    <t>93009</t>
  </si>
  <si>
    <t>ELETRODUTO RÍGIDO ROSCÁVEL, PVC, DN 60 MM (2"), PARA REDE ENTERRADA DE DISTRIBUIÇÃO DE ENERGIA ELÉTRICA - FORNECIMENTO E INSTALAÇÃO. AF_12/2021</t>
  </si>
  <si>
    <t>1.358</t>
  </si>
  <si>
    <t>93011</t>
  </si>
  <si>
    <t>ELETRODUTO RÍGIDO ROSCÁVEL, PVC, DN 85 MM (3"), PARA REDE ENTERRADA DE DISTRIBUIÇÃO DE ENERGIA ELÉTRICA - FORNECIMENTO E INSTALAÇÃO. AF_12/2021</t>
  </si>
  <si>
    <t>1.359</t>
  </si>
  <si>
    <t>FNDE 94</t>
  </si>
  <si>
    <t>ELETRODUTO EM ACO ZINCADO OU GALVANIZADO DN=3/4", APARENTE - FORNECIMENTO E INSTALAÇÃO.</t>
  </si>
  <si>
    <t>1.360</t>
  </si>
  <si>
    <t>97886</t>
  </si>
  <si>
    <t>CAIXA ENTERRADA ELÉTRICA RETANGULAR, EM ALVENARIA COM TIJOLOS CERÂMICOS MACIÇOS, FUNDO COM BRITA, DIMENSÕES INTERNAS: 0,3X0,3X0,3 M. AF_12/2020</t>
  </si>
  <si>
    <t>1.361</t>
  </si>
  <si>
    <t>91937</t>
  </si>
  <si>
    <t>CAIXA OCTOGONAL 3" X 3", PVC, INSTALADA EM LAJE - FORNECIMENTO E INSTALAÇÃO. AF_03/2023</t>
  </si>
  <si>
    <t>1.362</t>
  </si>
  <si>
    <t>91940</t>
  </si>
  <si>
    <t>CAIXA RETANGULAR 4" X 2" MÉDIA (1,30 M DO PISO), PVC, INSTALADA EM PAREDE - FORNECIMENTO E INSTALAÇÃO. AF_03/2023</t>
  </si>
  <si>
    <t>1.363</t>
  </si>
  <si>
    <t>91926</t>
  </si>
  <si>
    <t>CABO DE COBRE FLEXÍVEL ISOLADO, 2,5 MM², ANTI-CHAMA 450/750 V, PARA CIRCUITOS TERMINAIS - FORNECIMENTO E INSTALAÇÃO. AF_03/2023</t>
  </si>
  <si>
    <t>1.364</t>
  </si>
  <si>
    <t>91928</t>
  </si>
  <si>
    <t>CABO DE COBRE FLEXÍVEL ISOLADO, 4 MM², ANTI-CHAMA 450/750 V, PARA CIRCUITOS TERMINAIS - FORNECIMENTO E INSTALAÇÃO. AF_03/2023</t>
  </si>
  <si>
    <t>1.365</t>
  </si>
  <si>
    <t>91930</t>
  </si>
  <si>
    <t>CABO DE COBRE FLEXÍVEL ISOLADO, 6 MM², ANTI-CHAMA 450/750 V, PARA CIRCUITOS TERMINAIS - FORNECIMENTO E INSTALAÇÃO. AF_03/2023</t>
  </si>
  <si>
    <t>1.366</t>
  </si>
  <si>
    <t>91934</t>
  </si>
  <si>
    <t>CABO DE COBRE FLEXÍVEL ISOLADO, 16 MM², ANTI-CHAMA 450/750 V, PARA CIRCUITOS TERMINAIS - FORNECIMENTO E INSTALAÇÃO. AF_03/2023</t>
  </si>
  <si>
    <t>1.367</t>
  </si>
  <si>
    <t>92984</t>
  </si>
  <si>
    <t>CABO DE COBRE FLEXÍVEL ISOLADO, 25 MM², ANTI-CHAMA 0,6/1,0 KV, PARA REDE ENTERRADA DE DISTRIBUIÇÃO DE ENERGIA ELÉTRICA - FORNECIMENTO E INSTALAÇÃO. AF_12/2021</t>
  </si>
  <si>
    <t>1.368</t>
  </si>
  <si>
    <t>92986</t>
  </si>
  <si>
    <t>CABO DE COBRE FLEXÍVEL ISOLADO, 35 MM², ANTI-CHAMA 0,6/1,0 KV, PARA REDE ENTERRADA DE DISTRIBUIÇÃO DE ENERGIA ELÉTRICA - FORNECIMENTO E INSTALAÇÃO. AF_12/2021</t>
  </si>
  <si>
    <t>1.369</t>
  </si>
  <si>
    <t>92990</t>
  </si>
  <si>
    <t>CABO DE COBRE FLEXÍVEL ISOLADO, 70 MM², ANTI-CHAMA 0,6/1,0 KV, PARA REDE ENTERRADA DE DISTRIBUIÇÃO DE ENERGIA ELÉTRICA - FORNECIMENTO E INSTALAÇÃO. AF_12/2021</t>
  </si>
  <si>
    <t>1.370</t>
  </si>
  <si>
    <t>101567</t>
  </si>
  <si>
    <t>CABO DE COBRE FLEXÍVEL ISOLADO, 95 MM², 0,6/1,0 KV, PARA REDE AÉREA DE DISTRIBUIÇÃO DE ENERGIA ELÉTRICA DE BAIXA TENSÃO - FORNECIMENTO E INSTALAÇÃO. AF_07/2020</t>
  </si>
  <si>
    <t>1.371</t>
  </si>
  <si>
    <t>92996</t>
  </si>
  <si>
    <t>CABO DE COBRE FLEXÍVEL ISOLADO, 150 MM², ANTI-CHAMA 0,6/1,0 KV, PARA REDE ENTERRADA DE DISTRIBUIÇÃO DE ENERGIA ELÉTRICA - FORNECIMENTO E INSTALAÇÃO. AF_12/2021</t>
  </si>
  <si>
    <t>1.372</t>
  </si>
  <si>
    <t>FNDE 313</t>
  </si>
  <si>
    <t>ELETROCALHA LISA OU PERFURADA EM AÇO GALVANIZADO, LARGURA  150MM E ALTURA 100MM, INCLUSIVE EMENDA E FIXAÇÃO - FORNECIMENTO E INSTALAÇÃO.</t>
  </si>
  <si>
    <t>1.373</t>
  </si>
  <si>
    <t>104764</t>
  </si>
  <si>
    <t>SUPORTE PARA 2 ELETRODUTOS, ESPAÇADO A CADA 80 CM, EM PERFILADO COM COMPRIMENTO DE 25 CM FIXADO EM LAJE, POR METRO DE ELETRODUTO FIXADO. AF_09/2023</t>
  </si>
  <si>
    <t>1.374</t>
  </si>
  <si>
    <t>92000</t>
  </si>
  <si>
    <t>TOMADA BAIXA DE EMBUTIR (1 MÓDULO), 2P+T 10 A, INCLUINDO SUPORTE E PLACA - FORNECIMENTO E INSTALAÇÃO. AF_03/2023</t>
  </si>
  <si>
    <t>1.375</t>
  </si>
  <si>
    <t>92001</t>
  </si>
  <si>
    <t>TOMADA BAIXA DE EMBUTIR (1 MÓDULO), 2P+T 20 A, INCLUINDO SUPORTE E PLACA - FORNECIMENTO E INSTALAÇÃO. AF_03/2023</t>
  </si>
  <si>
    <t>1.376</t>
  </si>
  <si>
    <t>92029</t>
  </si>
  <si>
    <t>INTERRUPTOR PARALELO (1 MÓDULO) COM 1 TOMADA DE EMBUTIR 2P+T 10 A, INCLUINDO SUPORTE E PLACA - FORNECIMENTO E INSTALAÇÃO. AF_03/2023</t>
  </si>
  <si>
    <t>1.377</t>
  </si>
  <si>
    <t>91955</t>
  </si>
  <si>
    <t>INTERRUPTOR PARALELO (1 MÓDULO), 10A/250V, INCLUINDO SUPORTE E PLACA - FORNECIMENTO E INSTALAÇÃO. AF_03/2023</t>
  </si>
  <si>
    <t>1.378</t>
  </si>
  <si>
    <t>92033</t>
  </si>
  <si>
    <t>INTERRUPTOR PARALELO (2 MÓDULOS) COM 1 TOMADA DE EMBUTIR 2P+T 10 A, INCLUINDO SUPORTE E PLACA - FORNECIMENTO E INSTALAÇÃO. AF_03/2023</t>
  </si>
  <si>
    <t>1.379</t>
  </si>
  <si>
    <t>91967</t>
  </si>
  <si>
    <t>INTERRUPTOR SIMPLES (3 MÓDULOS), 10A/250V, INCLUINDO SUPORTE E PLACA - FORNECIMENTO E INSTALAÇÃO. AF_03/2023</t>
  </si>
  <si>
    <t>1.380</t>
  </si>
  <si>
    <t>FNDE 309</t>
  </si>
  <si>
    <t>ESPELHO / PLACA CEGA 4" X 2", PARA INSTALACAO DE TOMADAS E INTERRUPTORES</t>
  </si>
  <si>
    <t>1.381</t>
  </si>
  <si>
    <t>97586</t>
  </si>
  <si>
    <t>LUMINÁRIA TIPO CALHA, DE SOBREPOR, COM 2 LÂMPADAS TUBULARES FLUORESCENTES DE 36 W, COM REATOR DE PARTIDA RÁPIDA - FORNECIMENTO E INSTALAÇÃO. AF_02/2020</t>
  </si>
  <si>
    <t>1.382</t>
  </si>
  <si>
    <t>FNDE 379</t>
  </si>
  <si>
    <t>LUMINÁRIA DE EMBUTIR COMPLETA EM FORRO DE GESSO OU MODULADO COM PERFIL "T", PARA 2 LAMPADAS T8 16/18W.</t>
  </si>
  <si>
    <t>1.383</t>
  </si>
  <si>
    <t>FNDE 380</t>
  </si>
  <si>
    <t>LUMINÁRIA DE EMBUTIR COMPLETA EM FORRO DE GESSO OU MODULADO COM PERFIL "T", PARA 2 LAMPADAS T8 32/36W.</t>
  </si>
  <si>
    <t>1.384</t>
  </si>
  <si>
    <t>FNDE 381</t>
  </si>
  <si>
    <t>REFLETOR EM ALUMÍNIO, DE SUPORTE E ALÇA, COM 1 LÂMPADA VAPOR DE MERCÚRIO DE 70 W, COM REATOR ALTO FATOR DE POTÊNCIA - FORNECIMENTO E INSTALAÇÃO.</t>
  </si>
  <si>
    <t>1.385</t>
  </si>
  <si>
    <t>101641</t>
  </si>
  <si>
    <t>LÂMPADA VAPOR METÁLICO 150 W - FORNECIMENTO E INSTALAÇÃO. AF_08/2020</t>
  </si>
  <si>
    <t>1.386</t>
  </si>
  <si>
    <t>101640</t>
  </si>
  <si>
    <t>LÂMPADA VAPOR METÁLICO 400 W - FORNECIMENTO E INSTALAÇÃO. AF_08/2020</t>
  </si>
  <si>
    <t>1.387</t>
  </si>
  <si>
    <t>97608</t>
  </si>
  <si>
    <t>LUMINÁRIA ARANDELA TIPO TARTARUGA, COM GRADE, DE SOBREPOR, COM 1 LÂMPADA FLUORESCENTE DE 15 W, SEM REATOR - FORNECIMENTO E INSTALAÇÃO. AF_02/2020</t>
  </si>
  <si>
    <t>1.388</t>
  </si>
  <si>
    <t>91927</t>
  </si>
  <si>
    <t>CABO DE COBRE FLEXÍVEL ISOLADO, 2,5 MM², ANTI-CHAMA 0,6/1,0 KV, PARA CIRCUITOS TERMINAIS - FORNECIMENTO E INSTALAÇÃO. AF_03/2023</t>
  </si>
  <si>
    <t>19</t>
  </si>
  <si>
    <t>INSTALAÇÕES DE CLIMATIZAÇÃO</t>
  </si>
  <si>
    <t>1.389</t>
  </si>
  <si>
    <t>91929</t>
  </si>
  <si>
    <t>CABO DE COBRE FLEXÍVEL ISOLADO, 4 MM², ANTI-CHAMA 0,6/1,0 KV, PARA CIRCUITOS TERMINAIS - FORNECIMENTO E INSTALAÇÃO. AF_03/2023</t>
  </si>
  <si>
    <t>1.390</t>
  </si>
  <si>
    <t>103978</t>
  </si>
  <si>
    <t>TUBO, PVC, SOLDÁVEL, DN 40MM, INSTALADO EM RAMAL DE DISTRIBUIÇÃO DE ÁGUA - FORNECIMENTO E INSTALAÇÃO. AF_06/2022</t>
  </si>
  <si>
    <t>1.391</t>
  </si>
  <si>
    <t>103981</t>
  </si>
  <si>
    <t>JOELHO 45 GRAUS, PVC, SOLDÁVEL, DN 40MM, INSTALADO EM RAMAL DE DISTRIBUIÇÃO DE ÁGUA - FORNECIMENTO E INSTALAÇÃO. AF_06/2022</t>
  </si>
  <si>
    <t>1.392</t>
  </si>
  <si>
    <t>103980</t>
  </si>
  <si>
    <t>JOELHO 90 GRAUS, PVC, SOLDÁVEL, DN 40MM, INSTALADO EM RAMAL DE DISTRIBUIÇÃO DE ÁGUA - FORNECIMENTO E INSTALAÇÃO. AF_06/2022</t>
  </si>
  <si>
    <t>1.393</t>
  </si>
  <si>
    <t>104011</t>
  </si>
  <si>
    <t>TE, PVC, SOLDÁVEL, DN 40MM, INSTALADO EM RAMAL DE DISTRIBUIÇÃO DE ÁGUA - FORNECIMENTO E INSTALAÇÃO. AF_06/2022</t>
  </si>
  <si>
    <t>1.394</t>
  </si>
  <si>
    <t>98302</t>
  </si>
  <si>
    <t>PATCH PANEL 24 PORTAS, CATEGORIA 6 - FORNECIMENTO E INSTALAÇÃO. AF_11/2019</t>
  </si>
  <si>
    <t>20</t>
  </si>
  <si>
    <t>INSTALAÇÕES DE CABEAMENTO ESTRUTURADO</t>
  </si>
  <si>
    <t>1.395</t>
  </si>
  <si>
    <t>FNDE 76</t>
  </si>
  <si>
    <t>SWITCH TIPO 24 PORTAS</t>
  </si>
  <si>
    <t>1.396</t>
  </si>
  <si>
    <t>FNDE 385</t>
  </si>
  <si>
    <t>PATCH CORD, CATEGORIA 6 UTP, 4 PARES.</t>
  </si>
  <si>
    <t>1.397</t>
  </si>
  <si>
    <t>FNDE 123</t>
  </si>
  <si>
    <t>GUIA DE CABOS FECHADO 1U</t>
  </si>
  <si>
    <t>1.398</t>
  </si>
  <si>
    <t>FNDE 122</t>
  </si>
  <si>
    <t>BANDEJA MÓVEL, PADRÃO 19"</t>
  </si>
  <si>
    <t>1.399</t>
  </si>
  <si>
    <t>100555</t>
  </si>
  <si>
    <t>RACK ABERTO EM COLUNA 44U PARA SERVIDOR - FORNECIMENTO E INSTALAÇÃO. AF_11/2019</t>
  </si>
  <si>
    <t>1.400</t>
  </si>
  <si>
    <t>FNDE 125</t>
  </si>
  <si>
    <t>GUIA VERTICAL 200 MM PARA CABOS</t>
  </si>
  <si>
    <t>1.401</t>
  </si>
  <si>
    <t>1.402</t>
  </si>
  <si>
    <t>1.403</t>
  </si>
  <si>
    <t>98307</t>
  </si>
  <si>
    <t>TOMADA DE REDE RJ45 - FORNECIMENTO E INSTALAÇÃO. AF_11/2019</t>
  </si>
  <si>
    <t>1.404</t>
  </si>
  <si>
    <t>FNDE 375</t>
  </si>
  <si>
    <t>TOMADA PARA ANTENA DE TV, CABO COAXIAL DE 9 MM FORNECIMENTO E INSTALAÇÃO</t>
  </si>
  <si>
    <t>1.405</t>
  </si>
  <si>
    <t>FNDE 70</t>
  </si>
  <si>
    <t>TERMINAL A COMPRESSÃO</t>
  </si>
  <si>
    <t>1.406</t>
  </si>
  <si>
    <t>FNDE 312</t>
  </si>
  <si>
    <t>ELETROCALHA LISA OU PERFURADA EM AÇO GALVANIZADO, LARGURA  100MM E ALTURA 50MM, INCLUSIVE EMENDA E FIXAÇÃO - FORNECIMENTO E INSTALAÇÃO.</t>
  </si>
  <si>
    <t>1.407</t>
  </si>
  <si>
    <t>91837</t>
  </si>
  <si>
    <t>ELETRODUTO FLEXÍVEL CORRUGADO REFORÇADO, PVC, DN 32 MM (1"), PARA CIRCUITOS TERMINAIS, INSTALADO EM FORRO - FORNECIMENTO E INSTALAÇÃO. AF_03/2023</t>
  </si>
  <si>
    <t>1.408</t>
  </si>
  <si>
    <t>91835</t>
  </si>
  <si>
    <t>ELETRODUTO FLEXÍVEL CORRUGADO REFORÇADO, PVC, DN 25 MM (3/4"), PARA CIRCUITOS TERMINAIS, INSTALADO EM FORRO - FORNECIMENTO E INSTALAÇÃO. AF_03/2023</t>
  </si>
  <si>
    <t>1.409</t>
  </si>
  <si>
    <t>91865</t>
  </si>
  <si>
    <t>ELETRODUTO RÍGIDO ROSCÁVEL, PVC, DN 40 MM (1 1/4"), PARA CIRCUITOS TERMINAIS, INSTALADO EM FORRO - FORNECIMENTO E INSTALAÇÃO. AF_03/2023</t>
  </si>
  <si>
    <t>1.410</t>
  </si>
  <si>
    <t>FNDE 346</t>
  </si>
  <si>
    <t>CABECOTE PARA ENTRADA DE LINHA DE ALIMENTACAO PARA ELETRODUTO</t>
  </si>
  <si>
    <t>1.411</t>
  </si>
  <si>
    <t>FNDE 90</t>
  </si>
  <si>
    <t>ELETRODUTO RIGIDO, EM ACO ZINCADO OU GALVANIZADO, TIPO PESADO, DN=1", APARENTE - FORNECIMENTO E INSTALAÇÃO.</t>
  </si>
  <si>
    <t>1.412</t>
  </si>
  <si>
    <t>98297</t>
  </si>
  <si>
    <t>CABO ELETRÔNICO CATEGORIA 6, INSTALADO EM EDIFICAÇÃO INSTITUCIONAL - FORNECIMENTO E INSTALAÇÃO. AF_11/2019</t>
  </si>
  <si>
    <t>1.413</t>
  </si>
  <si>
    <t>100554</t>
  </si>
  <si>
    <t>CABO COAXIAL RG59 95% - FORNECIMENTO E INSTALAÇÃO. AF_11/2019</t>
  </si>
  <si>
    <t>1.414</t>
  </si>
  <si>
    <t>FNDE 44</t>
  </si>
  <si>
    <t>DUTO DE ALONGAMENTO PARA EXAUSTOR</t>
  </si>
  <si>
    <t>21</t>
  </si>
  <si>
    <t>SISTEMA DE EXAUSTÃO MECÂNICA</t>
  </si>
  <si>
    <t>1.415</t>
  </si>
  <si>
    <t>FNDE 45</t>
  </si>
  <si>
    <t>COIFA EM AÇO INOX 100CM X 150CM</t>
  </si>
  <si>
    <t>1.416</t>
  </si>
  <si>
    <t>96989</t>
  </si>
  <si>
    <t>CAPTOR TIPO FRANKLIN PARA SPDA - FORNECIMENTO E INSTALAÇÃO. AF_08/2023</t>
  </si>
  <si>
    <t>22</t>
  </si>
  <si>
    <t>SISTEMA DE PROTEÇÃO CONTRA DESCARGAS ATMOSFÉRICAS (SPDA)</t>
  </si>
  <si>
    <t>1.417</t>
  </si>
  <si>
    <t>92884</t>
  </si>
  <si>
    <t>ARMAÇÃO UTILIZANDO AÇO CA-25 DE 10,0 MM - MONTAGEM. AF_06/2022</t>
  </si>
  <si>
    <t>1.418</t>
  </si>
  <si>
    <t>104753</t>
  </si>
  <si>
    <t>CONECTOR SPLIT-BOLT, PARA SPDA, PARA CABOS ATÉ 50 MM2 - FORNECIMENTO E INSTALAÇÃO. AF_08/2023</t>
  </si>
  <si>
    <t>1.419</t>
  </si>
  <si>
    <t>101663</t>
  </si>
  <si>
    <t>ABRAÇADEIRA DE FIXAÇÃO DE BRAÇOS DE LUMINÁRIAS DE 2" - FORNECIMENTO E INSTALAÇÃO. AF_08/2020</t>
  </si>
  <si>
    <t>1.420</t>
  </si>
  <si>
    <t>FNDE 68</t>
  </si>
  <si>
    <t>CONJUNTO DE ESTAIAMENTO PARA MASTRO DE SPDA</t>
  </si>
  <si>
    <t>1.421</t>
  </si>
  <si>
    <t>98463</t>
  </si>
  <si>
    <t>SUPORTE ISOLADOR PARA FIXAÇÃO DA CORDOALHA DE COBRE EM ALVENARIA OU CONCRETO - FORNECIMENTO E INSTALAÇÃO. AF_08/2023</t>
  </si>
  <si>
    <t>1.422</t>
  </si>
  <si>
    <t>FNDE 69</t>
  </si>
  <si>
    <t>CAIXA DE EQUALIZAÇÃO DE ATERRAMENTO ELÉTRICO</t>
  </si>
  <si>
    <t>1.423</t>
  </si>
  <si>
    <t>93358</t>
  </si>
  <si>
    <t>ESCAVAÇÃO MANUAL DE VALA COM PROFUNDIDADE MENOR OU IGUAL A 1,30 M. AF_02/2021</t>
  </si>
  <si>
    <t>1.424</t>
  </si>
  <si>
    <t>93382</t>
  </si>
  <si>
    <t>REATERRO MANUAL DE VALAS, COM COMPACTADOR DE SOLOS DE PERCUSSÃO. AF_08/2023</t>
  </si>
  <si>
    <t>1.425</t>
  </si>
  <si>
    <t>96985</t>
  </si>
  <si>
    <t>HASTE DE ATERRAMENTO, DIÂMETRO 5/8", COM 3 METROS - FORNECIMENTO E INSTALAÇÃO. AF_08/2023</t>
  </si>
  <si>
    <t>1.426</t>
  </si>
  <si>
    <t>96973</t>
  </si>
  <si>
    <t>CORDOALHA DE COBRE NU 35 MM², NÃO ENTERRADA, COM ISOLADOR - FORNECIMENTO E INSTALAÇÃO. AF_08/2023</t>
  </si>
  <si>
    <t>1.427</t>
  </si>
  <si>
    <t>96977</t>
  </si>
  <si>
    <t>CORDOALHA DE COBRE NU 50 MM², ENTERRADA - FORNECIMENTO E INSTALAÇÃO. AF_08/2023</t>
  </si>
  <si>
    <t>1.428</t>
  </si>
  <si>
    <t>98111</t>
  </si>
  <si>
    <t>CAIXA DE INSPEÇÃO PARA ATERRAMENTO, CIRCULAR, EM POLIETILENO, DIÂMETRO INTERNO = 0,3 M. AF_12/2020</t>
  </si>
  <si>
    <t>1.429</t>
  </si>
  <si>
    <t>1.430</t>
  </si>
  <si>
    <t>FNDE 71</t>
  </si>
  <si>
    <t>SOLDA EXOTÉRMICA PARA SPDA - FORNECIMENTO E INSTALAÇÃO.</t>
  </si>
  <si>
    <t>1.431</t>
  </si>
  <si>
    <t>FNDE 39</t>
  </si>
  <si>
    <t>CONJUNTO DE MASTRO P/ TRÊS BANDEIRAS E PEDESTAL</t>
  </si>
  <si>
    <t>23</t>
  </si>
  <si>
    <t>SERVIÇOS COMPLEMENTARES</t>
  </si>
  <si>
    <t>1.432</t>
  </si>
  <si>
    <t>FNDE 40</t>
  </si>
  <si>
    <t>BANCADA DE GRANITO CINZA ANDORINHA, INCLUSIVE PASSA PRATOS, ESPESSURA 2 CM - FORNECIMENTO E INSTALAÇÃO</t>
  </si>
  <si>
    <t>1.433</t>
  </si>
  <si>
    <t>FNDE 47</t>
  </si>
  <si>
    <t>PRATELEIRA DE GRANITO CINZA ANDORINHA, ESPESSURA 2 CM - FORNECIMENTO E INSTALAÇÃO</t>
  </si>
  <si>
    <t>1.434</t>
  </si>
  <si>
    <t>FNDE 48</t>
  </si>
  <si>
    <t>ESCANINHOS EM MDF, REVESTIDOS EM LAMINADO MELAMÍNICO</t>
  </si>
  <si>
    <t>1.435</t>
  </si>
  <si>
    <t>101965</t>
  </si>
  <si>
    <t>PEITORIL LINEAR EM GRANITO OU MÁRMORE, L = 15CM, COMPRIMENTO DE ATÉ 2M, ASSENTADO COM ARGAMASSA 1:6 COM ADITIVO. AF_11/2020</t>
  </si>
  <si>
    <t>1.436</t>
  </si>
  <si>
    <t>100861</t>
  </si>
  <si>
    <t>SUPORTE MÃO FRANCESA EM AÇO, ABAS IGUAIS 30 CM, CAPACIDADE MINIMA 60 KG, BRANCO - FORNECIMENTO E INSTALAÇÃO. AF_01/2020</t>
  </si>
  <si>
    <t>1.437</t>
  </si>
  <si>
    <t>FNDE 49</t>
  </si>
  <si>
    <t>BARRA DE APOIO EM INOX, DIAMETRO MINIMO 3 CM, EM AÇO INOX</t>
  </si>
  <si>
    <t>1.438</t>
  </si>
  <si>
    <t>FNDE 51</t>
  </si>
  <si>
    <t>BANCO DE CONCRETO SEM ENCOSTO, DIM. 2,50 X 0,60 M</t>
  </si>
  <si>
    <t>1.439</t>
  </si>
  <si>
    <t>FNDE 38</t>
  </si>
  <si>
    <t>FITA 3M COLANTE ANTIDERRAPANTE PARA PISO</t>
  </si>
  <si>
    <t>1.440</t>
  </si>
  <si>
    <t>99803</t>
  </si>
  <si>
    <t>LIMPEZA DE PISO CERÂMICO OU PORCELANATO COM PANO ÚMIDO. AF_04/2019</t>
  </si>
  <si>
    <t>24</t>
  </si>
  <si>
    <t>SERVIÇOS FINAIS</t>
  </si>
  <si>
    <t>1.441</t>
  </si>
  <si>
    <t>1.442</t>
  </si>
  <si>
    <t>97327</t>
  </si>
  <si>
    <t>TUBO EM COBRE FLEXÍVEL, DN 1/4", COM ISOLAMENTO, INSTALADO EM RAMAL DE ALIMENTAÇÃO DE AR CONDICIONADO COM CONDENSADORA INDIVIDUAL   FORNECIMENTO E INSTALAÇÃO. AF_12/2015</t>
  </si>
  <si>
    <t>1.443</t>
  </si>
  <si>
    <t>89584</t>
  </si>
  <si>
    <t>JOELHO 90 GRAUS, PVC, SERIE R, ÁGUA PLUVIAL, DN 100 MM, JUNTA ELÁSTICA, FORNECIDO E INSTALADO EM CONDUTORES VERTICAIS DE ÁGUAS PLUVIAIS. AF_06/2022</t>
  </si>
  <si>
    <t>1.444</t>
  </si>
  <si>
    <t>100867</t>
  </si>
  <si>
    <t>BARRA DE APOIO RETA, EM ACO INOX POLIDO, COMPRIMENTO 70 CM,  FIXADA NA PAREDE - FORNECIMENTO E INSTALAÇÃO. AF_01/2020</t>
  </si>
  <si>
    <t>1.445</t>
  </si>
  <si>
    <t>101875</t>
  </si>
  <si>
    <t>QUADRO DE DISTRIBUIÇÃO DE ENERGIA EM CHAPA DE AÇO GALVANIZADO, DE EMBUTIR, COM BARRAMENTO TRIFÁSICO, PARA 12 DISJUNTORES DIN 100A - FORNECIMENTO E INSTALAÇÃO. AF_10/2020</t>
  </si>
  <si>
    <t>1.446</t>
  </si>
  <si>
    <t>101883</t>
  </si>
  <si>
    <t>QUADRO DE DISTRIBUIÇÃO DE ENERGIA EM CHAPA DE AÇO GALVANIZADO, DE EMBUTIR, COM BARRAMENTO TRIFÁSICO, PARA 18 DISJUNTORES DIN 100A - FORNECIMENTO E INSTALAÇÃO. AF_10/2020</t>
  </si>
  <si>
    <t>1.447</t>
  </si>
  <si>
    <t>101879</t>
  </si>
  <si>
    <t>QUADRO DE DISTRIBUIÇÃO DE ENERGIA EM CHAPA DE AÇO GALVANIZADO, DE EMBUTIR, COM BARRAMENTO TRIFÁSICO, PARA 24 DISJUNTORES DIN 100A - FORNECIMENTO E INSTALAÇÃO. AF_10/2020</t>
  </si>
  <si>
    <t>1.448</t>
  </si>
  <si>
    <t>101946</t>
  </si>
  <si>
    <t>QUADRO DE MEDIÇÃO GERAL DE ENERGIA PARA 1 MEDIDOR DE SOBREPOR - FORNECIMENTO E INSTALAÇÃO. AF_10/2020</t>
  </si>
  <si>
    <t>1.449</t>
  </si>
  <si>
    <t>93656</t>
  </si>
  <si>
    <t>DISJUNTOR MONOPOLAR TIPO DIN, CORRENTE NOMINAL DE 25A - FORNECIMENTO E INSTALAÇÃO. AF_10/2020</t>
  </si>
  <si>
    <t>1.450</t>
  </si>
  <si>
    <t>97328</t>
  </si>
  <si>
    <t>TUBO EM COBRE FLEXÍVEL, DN 3/8", COM ISOLAMENTO, INSTALADO EM RAMAL DE ALIMENTAÇÃO DE AR CONDICIONADO COM CONDENSADORA INDIVIDUAL - FORNECIMENTO E INSTALAÇÃO. AF_12/2015</t>
  </si>
  <si>
    <t>1.451</t>
  </si>
  <si>
    <t>103992</t>
  </si>
  <si>
    <t>ADAPTADOR CURTO COM BOLSA E ROSCA PARA REGISTRO, PVC, SOLDÁVEL, DN 40MM X 1.1/4", INSTALADO EM RAMAL DE DISTRIBUIÇÃO DE ÁGUA - FORNECIMENTO E INSTALAÇÃO. AF_06/2022</t>
  </si>
  <si>
    <t>Total:</t>
  </si>
  <si>
    <t>Valor não utilizado (QCI):</t>
  </si>
  <si>
    <t>N° do Evento</t>
  </si>
  <si>
    <t>Título do Evento</t>
  </si>
  <si>
    <t>N° da Frente de Obra</t>
  </si>
  <si>
    <t>N° do Período de Conclusão do Evento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</si>
</sst>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  <numFmt numFmtId="180" formatCode="0.00_ "/>
    <numFmt numFmtId="181" formatCode="0.0000%"/>
    <numFmt numFmtId="182" formatCode="\R\$\ #,##0.00"/>
    <numFmt numFmtId="183" formatCode="#,##0.00%"/>
  </numFmts>
  <fonts count="26">
    <font>
      <sz val="11"/>
      <color indexed="8"/>
      <name val="Calibri"/>
      <charset val="134"/>
      <scheme val="minor"/>
    </font>
    <font>
      <b/>
      <sz val="10"/>
      <color indexed="9"/>
      <name val="Arial"/>
      <charset val="134"/>
    </font>
    <font>
      <sz val="10"/>
      <name val="Arial"/>
      <charset val="134"/>
    </font>
    <font>
      <sz val="11"/>
      <color theme="0"/>
      <name val="Calibri"/>
      <charset val="134"/>
      <scheme val="minor"/>
    </font>
    <font>
      <b/>
      <sz val="10"/>
      <color theme="0"/>
      <name val="Arial"/>
      <charset val="134"/>
    </font>
    <font>
      <b/>
      <sz val="10"/>
      <name val="Arial"/>
      <charset val="134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indexed="65"/>
        <bgColor indexed="49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/>
        <bgColor indexed="4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6" fillId="0" borderId="0" applyFont="0" applyFill="0" applyBorder="0" applyAlignment="0" applyProtection="0">
      <alignment vertical="center"/>
    </xf>
    <xf numFmtId="177" fontId="6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/>
    <xf numFmtId="178" fontId="6" fillId="0" borderId="0" applyFont="0" applyFill="0" applyBorder="0" applyAlignment="0" applyProtection="0">
      <alignment vertical="center"/>
    </xf>
    <xf numFmtId="179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6" borderId="2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3" applyNumberFormat="0" applyFill="0" applyAlignment="0" applyProtection="0">
      <alignment vertical="center"/>
    </xf>
    <xf numFmtId="0" fontId="14" fillId="0" borderId="4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7" borderId="5" applyNumberFormat="0" applyAlignment="0" applyProtection="0">
      <alignment vertical="center"/>
    </xf>
    <xf numFmtId="0" fontId="16" fillId="8" borderId="6" applyNumberFormat="0" applyAlignment="0" applyProtection="0">
      <alignment vertical="center"/>
    </xf>
    <xf numFmtId="0" fontId="17" fillId="8" borderId="5" applyNumberFormat="0" applyAlignment="0" applyProtection="0">
      <alignment vertical="center"/>
    </xf>
    <xf numFmtId="0" fontId="18" fillId="9" borderId="7" applyNumberFormat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20" fillId="0" borderId="9" applyNumberFormat="0" applyFill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5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5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5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4" fillId="36" borderId="0" applyNumberFormat="0" applyBorder="0" applyAlignment="0" applyProtection="0">
      <alignment vertical="center"/>
    </xf>
  </cellStyleXfs>
  <cellXfs count="38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0" fillId="3" borderId="0" xfId="0" applyFill="1" applyAlignment="1">
      <alignment wrapText="1"/>
    </xf>
    <xf numFmtId="0" fontId="3" fillId="4" borderId="0" xfId="0" applyFont="1" applyFill="1"/>
    <xf numFmtId="0" fontId="0" fillId="3" borderId="0" xfId="0" applyFill="1"/>
    <xf numFmtId="180" fontId="0" fillId="3" borderId="0" xfId="0" applyNumberFormat="1" applyFill="1"/>
    <xf numFmtId="181" fontId="0" fillId="3" borderId="0" xfId="0" applyNumberFormat="1" applyFill="1"/>
    <xf numFmtId="0" fontId="1" fillId="5" borderId="0" xfId="0" applyFont="1" applyFill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4" fillId="4" borderId="0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4" fontId="2" fillId="3" borderId="1" xfId="0" applyNumberFormat="1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center" vertical="center"/>
    </xf>
    <xf numFmtId="0" fontId="0" fillId="3" borderId="1" xfId="0" applyFill="1" applyBorder="1"/>
    <xf numFmtId="180" fontId="1" fillId="5" borderId="1" xfId="0" applyNumberFormat="1" applyFont="1" applyFill="1" applyBorder="1" applyAlignment="1">
      <alignment horizontal="center" wrapText="1"/>
    </xf>
    <xf numFmtId="181" fontId="1" fillId="5" borderId="1" xfId="0" applyNumberFormat="1" applyFont="1" applyFill="1" applyBorder="1" applyAlignment="1">
      <alignment horizontal="center" wrapText="1"/>
    </xf>
    <xf numFmtId="180" fontId="3" fillId="4" borderId="1" xfId="0" applyNumberFormat="1" applyFont="1" applyFill="1" applyBorder="1" applyAlignment="1">
      <alignment horizontal="center" vertical="center" wrapText="1"/>
    </xf>
    <xf numFmtId="181" fontId="4" fillId="4" borderId="1" xfId="0" applyNumberFormat="1" applyFont="1" applyFill="1" applyBorder="1" applyAlignment="1">
      <alignment horizontal="center" vertical="center" wrapText="1"/>
    </xf>
    <xf numFmtId="182" fontId="4" fillId="4" borderId="1" xfId="0" applyNumberFormat="1" applyFont="1" applyFill="1" applyBorder="1" applyAlignment="1">
      <alignment horizontal="center" vertical="center" wrapText="1"/>
    </xf>
    <xf numFmtId="180" fontId="2" fillId="3" borderId="1" xfId="0" applyNumberFormat="1" applyFont="1" applyFill="1" applyBorder="1" applyAlignment="1">
      <alignment horizontal="center" vertical="center"/>
    </xf>
    <xf numFmtId="181" fontId="2" fillId="3" borderId="1" xfId="3" applyNumberFormat="1" applyFont="1" applyFill="1" applyBorder="1" applyAlignment="1">
      <alignment horizontal="center" vertical="center"/>
    </xf>
    <xf numFmtId="183" fontId="2" fillId="3" borderId="1" xfId="0" applyNumberFormat="1" applyFont="1" applyFill="1" applyBorder="1" applyAlignment="1">
      <alignment horizontal="center" vertical="center"/>
    </xf>
    <xf numFmtId="182" fontId="2" fillId="3" borderId="1" xfId="0" applyNumberFormat="1" applyFont="1" applyFill="1" applyBorder="1" applyAlignment="1">
      <alignment horizontal="center" vertical="center" wrapText="1"/>
    </xf>
    <xf numFmtId="180" fontId="0" fillId="3" borderId="1" xfId="0" applyNumberFormat="1" applyFill="1" applyBorder="1"/>
    <xf numFmtId="0" fontId="0" fillId="3" borderId="1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180" fontId="5" fillId="3" borderId="1" xfId="0" applyNumberFormat="1" applyFont="1" applyFill="1" applyBorder="1" applyAlignment="1">
      <alignment horizontal="center" vertical="center" wrapText="1"/>
    </xf>
    <xf numFmtId="181" fontId="5" fillId="3" borderId="1" xfId="0" applyNumberFormat="1" applyFont="1" applyFill="1" applyBorder="1" applyAlignment="1">
      <alignment horizontal="center" vertical="center" wrapText="1"/>
    </xf>
    <xf numFmtId="180" fontId="5" fillId="3" borderId="0" xfId="0" applyNumberFormat="1" applyFont="1" applyFill="1" applyBorder="1" applyAlignment="1">
      <alignment horizontal="center" vertical="center" wrapText="1"/>
    </xf>
    <xf numFmtId="181" fontId="5" fillId="3" borderId="0" xfId="0" applyNumberFormat="1" applyFont="1" applyFill="1" applyBorder="1" applyAlignment="1">
      <alignment horizontal="center" vertical="center" wrapText="1"/>
    </xf>
    <xf numFmtId="182" fontId="5" fillId="3" borderId="1" xfId="0" applyNumberFormat="1" applyFont="1" applyFill="1" applyBorder="1" applyAlignment="1">
      <alignment horizontal="center" vertical="center"/>
    </xf>
    <xf numFmtId="182" fontId="5" fillId="3" borderId="0" xfId="0" applyNumberFormat="1" applyFont="1" applyFill="1" applyBorder="1" applyAlignment="1">
      <alignment horizontal="center" vertical="center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U464"/>
  <sheetViews>
    <sheetView tabSelected="1" zoomScale="60" zoomScaleNormal="60" topLeftCell="B1" workbookViewId="0">
      <selection activeCell="M1" sqref="M1"/>
    </sheetView>
  </sheetViews>
  <sheetFormatPr defaultColWidth="9" defaultRowHeight="14.4"/>
  <cols>
    <col min="1" max="1" width="15" style="6" hidden="1" customWidth="1"/>
    <col min="2" max="2" width="12.287037037037" style="6" customWidth="1"/>
    <col min="3" max="4" width="12" style="6" customWidth="1"/>
    <col min="5" max="5" width="96.712962962963" style="6" customWidth="1"/>
    <col min="6" max="6" width="16.712962962963" style="6" customWidth="1"/>
    <col min="7" max="7" width="10" style="6" customWidth="1"/>
    <col min="8" max="8" width="15.5740740740741" style="6" hidden="1" customWidth="1"/>
    <col min="9" max="9" width="9.71296296296296" style="6" hidden="1" customWidth="1"/>
    <col min="10" max="10" width="20" style="7" customWidth="1"/>
    <col min="11" max="11" width="10" style="8" hidden="1" customWidth="1"/>
    <col min="12" max="12" width="11.5740740740741" style="6" customWidth="1"/>
    <col min="13" max="13" width="20" style="7" customWidth="1"/>
    <col min="14" max="14" width="26.4259259259259" style="6" customWidth="1"/>
    <col min="15" max="15" width="20" style="6" hidden="1" customWidth="1"/>
    <col min="16" max="16" width="15" style="6" customWidth="1"/>
    <col min="17" max="17" width="34.287037037037" style="6" customWidth="1"/>
    <col min="18" max="18" width="14.5740740740741" style="6" customWidth="1"/>
    <col min="19" max="19" width="45.287037037037" style="6" customWidth="1"/>
    <col min="20" max="20" width="15" style="6" customWidth="1"/>
    <col min="21" max="21" width="21.287037037037" style="6" customWidth="1"/>
    <col min="22" max="16384" width="9.13888888888889" style="6"/>
  </cols>
  <sheetData>
    <row r="1" s="4" customFormat="1" ht="39.6" spans="1:21">
      <c r="A1" s="9" t="s">
        <v>0</v>
      </c>
      <c r="B1" s="10" t="s">
        <v>1</v>
      </c>
      <c r="C1" s="10" t="s">
        <v>2</v>
      </c>
      <c r="D1" s="10" t="s">
        <v>3</v>
      </c>
      <c r="E1" s="10" t="s">
        <v>4</v>
      </c>
      <c r="F1" s="10" t="s">
        <v>5</v>
      </c>
      <c r="G1" s="10" t="s">
        <v>6</v>
      </c>
      <c r="H1" s="10" t="s">
        <v>7</v>
      </c>
      <c r="I1" s="10" t="s">
        <v>8</v>
      </c>
      <c r="J1" s="19" t="s">
        <v>9</v>
      </c>
      <c r="K1" s="20"/>
      <c r="L1" s="10" t="s">
        <v>10</v>
      </c>
      <c r="M1" s="19" t="s">
        <v>9</v>
      </c>
      <c r="N1" s="10" t="s">
        <v>11</v>
      </c>
      <c r="O1" s="10" t="s">
        <v>12</v>
      </c>
      <c r="P1" s="10" t="s">
        <v>13</v>
      </c>
      <c r="Q1" s="10" t="s">
        <v>14</v>
      </c>
      <c r="R1" s="10" t="s">
        <v>15</v>
      </c>
      <c r="S1" s="10" t="s">
        <v>16</v>
      </c>
      <c r="T1" s="10" t="s">
        <v>17</v>
      </c>
      <c r="U1" s="10" t="s">
        <v>18</v>
      </c>
    </row>
    <row r="2" s="5" customFormat="1" ht="45" customHeight="1" spans="1:21">
      <c r="A2" s="11" t="s">
        <v>19</v>
      </c>
      <c r="B2" s="12">
        <v>1</v>
      </c>
      <c r="C2" s="12" t="s">
        <v>20</v>
      </c>
      <c r="D2" s="12" t="s">
        <v>20</v>
      </c>
      <c r="E2" s="12" t="s">
        <v>21</v>
      </c>
      <c r="F2" s="13" t="s">
        <v>22</v>
      </c>
      <c r="G2" s="13" t="s">
        <v>23</v>
      </c>
      <c r="H2" s="12" t="s">
        <v>20</v>
      </c>
      <c r="I2" s="12" t="s">
        <v>20</v>
      </c>
      <c r="J2" s="21" t="s">
        <v>24</v>
      </c>
      <c r="K2" s="22"/>
      <c r="L2" s="13" t="s">
        <v>10</v>
      </c>
      <c r="M2" s="21" t="s">
        <v>25</v>
      </c>
      <c r="N2" s="23">
        <f>ROUND(N3,2)+ROUND(N4,2)+ROUND(N5,2)+ROUND(N6,2)+ROUND(N7,2)+ROUND(N8,2)+ROUND(N9,2)+ROUND(N10,2)+ROUND(N11,2)+ROUND(N22,2)+ROUND(N23,2)+ROUND(N24,2)+ROUND(N25,2)+ROUND(N26,2)+ROUND(N27,2)+ROUND(N28,2)+ROUND(N29,2)+ROUND(N30,2)+ROUND(N31,2)+ROUND(N32,2)+ROUND(N33,2)+ROUND(N34,2)+ROUND(N35,2)+ROUND(N36,2)+ROUND(N37,2)+ROUND(N38,2)+ROUND(N39,2)+ROUND(N40,2)+ROUND(N41,2)+ROUND(N42,2)+ROUND(N43,2)+ROUND(N44,2)+ROUND(N45,2)+ROUND(N46,2)+ROUND(N47,2)+ROUND(N48,2)+ROUND(N49,2)+ROUND(N50,2)+ROUND(N51,2)+ROUND(N52,2)+ROUND(N53,2)+ROUND(N54,2)+ROUND(N55,2)+ROUND(N56,2)+ROUND(N57,2)+ROUND(N58,2)+ROUND(N59,2)+ROUND(N60,2)+ROUND(N61,2)+ROUND(N62,2)+ROUND(N63,2)+ROUND(N64,2)+ROUND(N65,2)+ROUND(N66,2)+ROUND(N67,2)+ROUND(N68,2)+ROUND(N69,2)+ROUND(N70,2)+ROUND(N71,2)+ROUND(N72,2)+ROUND(N73,2)+ROUND(N74,2)+ROUND(N75,2)+ROUND(N76,2)+ROUND(N77,2)+ROUND(N78,2)+ROUND(N79,2)+ROUND(N80,2)+ROUND(N81,2)+ROUND(N82,2)+ROUND(N83,2)+ROUND(N84,2)+ROUND(N85,2)+ROUND(N86,2)+ROUND(N87,2)+ROUND(N88,2)+ROUND(N89,2)+ROUND(N90,2)+ROUND(N91,2)+ROUND(N92,2)+ROUND(N93,2)+ROUND(N94,2)+ROUND(N95,2)+ROUND(N96,2)+ROUND(N97,2)+ROUND(N98,2)+ROUND(N99,2)+ROUND(N100,2)+ROUND(N101,2)+ROUND(N102,2)+ROUND(N103,2)+ROUND(N104,2)+ROUND(N105,2)+ROUND(N106,2)+ROUND(N107,2)+ROUND(N108,2)+ROUND(N109,2)+ROUND(N110,2)+ROUND(N111,2)+ROUND(N112,2)+ROUND(N113,2)+ROUND(N114,2)+ROUND(N115,2)+ROUND(N116,2)+ROUND(N117,2)+ROUND(N118,2)+ROUND(N119,2)+ROUND(N120,2)+ROUND(N121,2)+ROUND(N122,2)+ROUND(N123,2)+ROUND(N124,2)+ROUND(N125,2)+ROUND(N126,2)+ROUND(N127,2)+ROUND(N128,2)+ROUND(N129,2)+ROUND(N130,2)+ROUND(N131,2)+ROUND(N132,2)+ROUND(N133,2)+ROUND(N134,2)+ROUND(N135,2)+ROUND(N136,2)+ROUND(N137,2)+ROUND(N138,2)+ROUND(N139,2)+ROUND(N140,2)+ROUND(N141,2)+ROUND(N142,2)+ROUND(N143,2)+ROUND(N144,2)+ROUND(N145,2)+ROUND(N146,2)+ROUND(N147,2)+ROUND(N148,2)+ROUND(N149,2)+ROUND(N150,2)+ROUND(N151,2)+ROUND(N152,2)+ROUND(N153,2)+ROUND(N154,2)+ROUND(N155,2)+ROUND(N156,2)+ROUND(N157,2)+ROUND(N158,2)+ROUND(N159,2)+ROUND(N160,2)+ROUND(N161,2)+ROUND(N162,2)+ROUND(N163,2)+ROUND(N164,2)+ROUND(N165,2)+ROUND(N166,2)+ROUND(N167,2)+ROUND(N168,2)+ROUND(N169,2)+ROUND(N170,2)+ROUND(N171,2)+ROUND(N172,2)+ROUND(N173,2)+ROUND(N174,2)+ROUND(N175,2)+ROUND(N176,2)+ROUND(N177,2)+ROUND(N178,2)+ROUND(N179,2)+ROUND(N180,2)+ROUND(N181,2)+ROUND(N182,2)+ROUND(N183,2)+ROUND(N184,2)+ROUND(N185,2)+ROUND(N186,2)+ROUND(N187,2)+ROUND(N188,2)+ROUND(N189,2)+ROUND(N190,2)+ROUND(N191,2)+ROUND(N192,2)+ROUND(N193,2)+ROUND(N194,2)+ROUND(N195,2)+ROUND(N196,2)+ROUND(N197,2)+ROUND(N198,2)+ROUND(N199,2)+ROUND(N200,2)+ROUND(N201,2)+ROUND(N202,2)+ROUND(N203,2)+ROUND(N204,2)+ROUND(N205,2)+ROUND(N206,2)+ROUND(N207,2)+ROUND(N208,2)+ROUND(N209,2)+ROUND(N210,2)+ROUND(N211,2)+ROUND(N212,2)+ROUND(N213,2)+ROUND(N214,2)+ROUND(N215,2)+ROUND(N216,2)+ROUND(N217,2)+ROUND(N218,2)+ROUND(N219,2)+ROUND(N220,2)+ROUND(N221,2)+ROUND(N222,2)+ROUND(N223,2)+ROUND(N224,2)+ROUND(N225,2)+ROUND(N226,2)+ROUND(N227,2)+ROUND(N228,2)+ROUND(N229,2)+ROUND(N230,2)+ROUND(N231,2)+ROUND(N232,2)+ROUND(N233,2)+ROUND(N234,2)+ROUND(N235,2)+ROUND(N236,2)+ROUND(N237,2)+ROUND(N238,2)+ROUND(N239,2)+ROUND(N240,2)+ROUND(N241,2)+ROUND(N242,2)+ROUND(N243,2)+ROUND(N244,2)+ROUND(N245,2)+ROUND(N246,2)+ROUND(N247,2)+ROUND(N248,2)+ROUND(N249,2)+ROUND(N250,2)+ROUND(N251,2)+ROUND(N252,2)+ROUND(N253,2)+ROUND(N254,2)+ROUND(N255,2)+ROUND(N256,2)+ROUND(N257,2)+ROUND(N258,2)+ROUND(N259,2)+ROUND(N260,2)+ROUND(N261,2)+ROUND(N262,2)+ROUND(N263,2)+ROUND(N264,2)+ROUND(N265,2)+ROUND(N266,2)+ROUND(N267,2)+ROUND(N268,2)+ROUND(N269,2)+ROUND(N270,2)+ROUND(N271,2)+ROUND(N272,2)+ROUND(N273,2)+ROUND(N274,2)+ROUND(N275,2)+ROUND(N276,2)+ROUND(N277,2)+ROUND(N278,2)+ROUND(N279,2)+ROUND(N280,2)+ROUND(N281,2)+ROUND(N282,2)+ROUND(N283,2)+ROUND(N284,2)+ROUND(N285,2)+ROUND(N286,2)+ROUND(N287,2)+ROUND(N288,2)+ROUND(N289,2)+ROUND(N290,2)+ROUND(N291,2)+ROUND(N292,2)+ROUND(N293,2)+ROUND(N294,2)+ROUND(N295,2)+ROUND(N296,2)+ROUND(N297,2)+ROUND(N298,2)+ROUND(N299,2)+ROUND(N300,2)+ROUND(N301,2)+ROUND(N302,2)+ROUND(N303,2)+ROUND(N304,2)+ROUND(N305,2)+ROUND(N306,2)+ROUND(N307,2)+ROUND(N308,2)+ROUND(N309,2)+ROUND(N310,2)+ROUND(N311,2)+ROUND(N312,2)+ROUND(N313,2)+ROUND(N314,2)+ROUND(N315,2)+ROUND(N316,2)+ROUND(N317,2)+ROUND(N318,2)+ROUND(N319,2)+ROUND(N320,2)+ROUND(N321,2)+ROUND(N322,2)+ROUND(N323,2)+ROUND(N324,2)+ROUND(N325,2)+ROUND(N326,2)+ROUND(N327,2)+ROUND(N328,2)+ROUND(N329,2)+ROUND(N330,2)+ROUND(N331,2)+ROUND(N332,2)+ROUND(N333,2)+ROUND(N334,2)+ROUND(N335,2)+ROUND(N336,2)+ROUND(N337,2)+ROUND(N338,2)+ROUND(N339,2)+ROUND(N340,2)+ROUND(N341,2)+ROUND(N342,2)+ROUND(N343,2)+ROUND(N344,2)+ROUND(N345,2)+ROUND(N346,2)+ROUND(N347,2)+ROUND(N348,2)+ROUND(N349,2)+ROUND(N350,2)+ROUND(N351,2)+ROUND(N352,2)+ROUND(N353,2)+ROUND(N354,2)+ROUND(N355,2)+ROUND(N356,2)+ROUND(N357,2)+ROUND(N358,2)+ROUND(N359,2)+ROUND(N360,2)+ROUND(N361,2)+ROUND(N362,2)+ROUND(N363,2)+ROUND(N364,2)+ROUND(N365,2)+ROUND(N366,2)+ROUND(N367,2)+ROUND(N368,2)+ROUND(N369,2)+ROUND(N370,2)+ROUND(N371,2)+ROUND(N372,2)+ROUND(N373,2)+ROUND(N374,2)+ROUND(N375,2)+ROUND(N376,2)+ROUND(N377,2)+ROUND(N378,2)+ROUND(N379,2)+ROUND(N380,2)+ROUND(N381,2)+ROUND(N382,2)+ROUND(N383,2)+ROUND(N384,2)+ROUND(N385,2)+ROUND(N386,2)+ROUND(N387,2)+ROUND(N388,2)+ROUND(N389,2)+ROUND(N390,2)+ROUND(N391,2)+ROUND(N392,2)+ROUND(N393,2)+ROUND(N394,2)+ROUND(N395,2)+ROUND(N396,2)+ROUND(N397,2)+ROUND(N398,2)+ROUND(N399,2)+ROUND(N400,2)+ROUND(N401,2)+ROUND(N402,2)+ROUND(N403,2)+ROUND(N404,2)+ROUND(N405,2)+ROUND(N406,2)+ROUND(N407,2)+ROUND(N408,2)+ROUND(N409,2)+ROUND(N410,2)+ROUND(N411,2)+ROUND(N412,2)+ROUND(N413,2)+ROUND(N414,2)+ROUND(N415,2)+ROUND(N416,2)+ROUND(N417,2)+ROUND(N418,2)+ROUND(N419,2)+ROUND(N420,2)+ROUND(N421,2)+ROUND(N422,2)+ROUND(N423,2)+ROUND(N424,2)+ROUND(N425,2)+ROUND(N426,2)+ROUND(N427,2)+ROUND(N428,2)+ROUND(N429,2)+ROUND(N430,2)+ROUND(N431,2)+ROUND(N432,2)+ROUND(N433,2)+ROUND(N434,2)+ROUND(N435,2)+ROUND(N436,2)+ROUND(N437,2)+ROUND(N438,2)+ROUND(N439,2)+ROUND(N440,2)+ROUND(N441,2)+ROUND(N442,2)+ROUND(N443,2)+ROUND(N444,2)+ROUND(N445,2)+ROUND(N446,2)+ROUND(N447,2)+ROUND(N448,2)+ROUND(N449,2)+ROUND(N450,2)+ROUND(N451,2)+ROUND(N452,2)+ROUND(N453,2)+ROUND(N454,2)+ROUND(N455,2)+ROUND(N456,2)+ROUND(N457,2)+ROUND(N458,2)+ROUND(N459,2)+ROUND(N460,2)+ROUND(N461,2)+ROUND(N462,2)</f>
        <v>2889743.59</v>
      </c>
      <c r="O2" s="12" t="s">
        <v>20</v>
      </c>
      <c r="P2" s="12" t="s">
        <v>20</v>
      </c>
      <c r="Q2" s="12" t="s">
        <v>20</v>
      </c>
      <c r="R2" s="12" t="s">
        <v>20</v>
      </c>
      <c r="S2" s="12" t="s">
        <v>20</v>
      </c>
      <c r="T2" s="12" t="s">
        <v>20</v>
      </c>
      <c r="U2" s="12" t="s">
        <v>20</v>
      </c>
    </row>
    <row r="3" ht="45" customHeight="1" spans="1:21">
      <c r="A3" s="14" t="s">
        <v>26</v>
      </c>
      <c r="B3" s="15" t="s">
        <v>27</v>
      </c>
      <c r="C3" s="15" t="s">
        <v>28</v>
      </c>
      <c r="D3" s="15" t="s">
        <v>29</v>
      </c>
      <c r="E3" s="15" t="s">
        <v>30</v>
      </c>
      <c r="F3" s="16">
        <f t="shared" ref="F3:F10" si="0">T3</f>
        <v>10</v>
      </c>
      <c r="G3" s="15" t="s">
        <v>31</v>
      </c>
      <c r="H3" s="17">
        <v>307</v>
      </c>
      <c r="I3" s="17">
        <f t="shared" ref="I3:I10" si="1">H3-H3*K3</f>
        <v>276.7605</v>
      </c>
      <c r="J3" s="24">
        <f>M3-M3*L3</f>
        <v>259.4475</v>
      </c>
      <c r="K3" s="25">
        <v>0.0985</v>
      </c>
      <c r="L3" s="26">
        <v>0.25</v>
      </c>
      <c r="M3" s="24">
        <v>345.93</v>
      </c>
      <c r="N3" s="27">
        <f>ROUND(U3,20)</f>
        <v>3459.3</v>
      </c>
      <c r="O3" s="15"/>
      <c r="P3" s="15" t="s">
        <v>32</v>
      </c>
      <c r="Q3" s="15" t="s">
        <v>33</v>
      </c>
      <c r="R3" s="15" t="s">
        <v>32</v>
      </c>
      <c r="S3" s="15" t="s">
        <v>21</v>
      </c>
      <c r="T3" s="16">
        <v>10</v>
      </c>
      <c r="U3" s="17">
        <f t="shared" ref="U3:U11" si="2">ROUND(M3,2)*T3</f>
        <v>3459.3</v>
      </c>
    </row>
    <row r="4" ht="45" customHeight="1" spans="1:21">
      <c r="A4" s="14" t="s">
        <v>26</v>
      </c>
      <c r="B4" s="15" t="s">
        <v>34</v>
      </c>
      <c r="C4" s="15" t="s">
        <v>28</v>
      </c>
      <c r="D4" s="15" t="s">
        <v>35</v>
      </c>
      <c r="E4" s="15" t="s">
        <v>36</v>
      </c>
      <c r="F4" s="16">
        <f t="shared" si="0"/>
        <v>99</v>
      </c>
      <c r="G4" s="15" t="s">
        <v>31</v>
      </c>
      <c r="H4" s="17">
        <v>77.26</v>
      </c>
      <c r="I4" s="17">
        <f t="shared" si="1"/>
        <v>69.64989</v>
      </c>
      <c r="J4" s="24">
        <f t="shared" ref="J4:J10" si="3">M4-M4*L4</f>
        <v>65.28</v>
      </c>
      <c r="K4" s="25">
        <v>0.0985</v>
      </c>
      <c r="L4" s="26">
        <v>0.25</v>
      </c>
      <c r="M4" s="24">
        <v>87.04</v>
      </c>
      <c r="N4" s="27">
        <f t="shared" ref="N4:N10" si="4">ROUND(U4,2)</f>
        <v>8616.96</v>
      </c>
      <c r="O4" s="15"/>
      <c r="P4" s="15" t="s">
        <v>32</v>
      </c>
      <c r="Q4" s="15" t="s">
        <v>33</v>
      </c>
      <c r="R4" s="15" t="s">
        <v>32</v>
      </c>
      <c r="S4" s="15" t="s">
        <v>21</v>
      </c>
      <c r="T4" s="16">
        <v>99</v>
      </c>
      <c r="U4" s="17">
        <f t="shared" si="2"/>
        <v>8616.96</v>
      </c>
    </row>
    <row r="5" ht="45" customHeight="1" spans="1:21">
      <c r="A5" s="14" t="s">
        <v>26</v>
      </c>
      <c r="B5" s="15" t="s">
        <v>37</v>
      </c>
      <c r="C5" s="15" t="s">
        <v>28</v>
      </c>
      <c r="D5" s="15" t="s">
        <v>38</v>
      </c>
      <c r="E5" s="15" t="s">
        <v>39</v>
      </c>
      <c r="F5" s="16">
        <f t="shared" si="0"/>
        <v>1</v>
      </c>
      <c r="G5" s="15" t="s">
        <v>40</v>
      </c>
      <c r="H5" s="17">
        <v>1807.57</v>
      </c>
      <c r="I5" s="17">
        <f t="shared" si="1"/>
        <v>1629.50447173</v>
      </c>
      <c r="J5" s="24">
        <f t="shared" si="3"/>
        <v>1527.66</v>
      </c>
      <c r="K5" s="25">
        <v>0.098511</v>
      </c>
      <c r="L5" s="26">
        <v>0.25</v>
      </c>
      <c r="M5" s="24">
        <v>2036.88</v>
      </c>
      <c r="N5" s="27">
        <f t="shared" si="4"/>
        <v>2036.88</v>
      </c>
      <c r="O5" s="15"/>
      <c r="P5" s="15" t="s">
        <v>32</v>
      </c>
      <c r="Q5" s="15" t="s">
        <v>33</v>
      </c>
      <c r="R5" s="15" t="s">
        <v>32</v>
      </c>
      <c r="S5" s="15" t="s">
        <v>21</v>
      </c>
      <c r="T5" s="16">
        <v>1</v>
      </c>
      <c r="U5" s="17">
        <f t="shared" si="2"/>
        <v>2036.88</v>
      </c>
    </row>
    <row r="6" ht="45" customHeight="1" spans="1:21">
      <c r="A6" s="14" t="s">
        <v>26</v>
      </c>
      <c r="B6" s="15" t="s">
        <v>41</v>
      </c>
      <c r="C6" s="15" t="s">
        <v>42</v>
      </c>
      <c r="D6" s="15" t="s">
        <v>43</v>
      </c>
      <c r="E6" s="15" t="s">
        <v>44</v>
      </c>
      <c r="F6" s="16">
        <f t="shared" si="0"/>
        <v>1</v>
      </c>
      <c r="G6" s="15" t="s">
        <v>40</v>
      </c>
      <c r="H6" s="17">
        <v>2879.9</v>
      </c>
      <c r="I6" s="17">
        <f t="shared" si="1"/>
        <v>2596.22985</v>
      </c>
      <c r="J6" s="24">
        <f t="shared" si="3"/>
        <v>2433.9675</v>
      </c>
      <c r="K6" s="25">
        <v>0.0985</v>
      </c>
      <c r="L6" s="26">
        <v>0.25</v>
      </c>
      <c r="M6" s="24">
        <v>3245.29</v>
      </c>
      <c r="N6" s="27">
        <f t="shared" si="4"/>
        <v>3245.29</v>
      </c>
      <c r="O6" s="15"/>
      <c r="P6" s="15" t="s">
        <v>32</v>
      </c>
      <c r="Q6" s="15" t="s">
        <v>33</v>
      </c>
      <c r="R6" s="15" t="s">
        <v>32</v>
      </c>
      <c r="S6" s="15" t="s">
        <v>21</v>
      </c>
      <c r="T6" s="16">
        <v>1</v>
      </c>
      <c r="U6" s="17">
        <f t="shared" si="2"/>
        <v>3245.29</v>
      </c>
    </row>
    <row r="7" ht="45" customHeight="1" spans="1:21">
      <c r="A7" s="14" t="s">
        <v>26</v>
      </c>
      <c r="B7" s="15" t="s">
        <v>45</v>
      </c>
      <c r="C7" s="15" t="s">
        <v>28</v>
      </c>
      <c r="D7" s="15" t="s">
        <v>46</v>
      </c>
      <c r="E7" s="15" t="s">
        <v>47</v>
      </c>
      <c r="F7" s="16">
        <f t="shared" si="0"/>
        <v>127.78</v>
      </c>
      <c r="G7" s="15" t="s">
        <v>48</v>
      </c>
      <c r="H7" s="17">
        <v>69.46</v>
      </c>
      <c r="I7" s="17">
        <f t="shared" si="1"/>
        <v>62.61819</v>
      </c>
      <c r="J7" s="24">
        <f t="shared" si="3"/>
        <v>58.6875</v>
      </c>
      <c r="K7" s="25">
        <v>0.0985</v>
      </c>
      <c r="L7" s="26">
        <v>0.25</v>
      </c>
      <c r="M7" s="24">
        <v>78.25</v>
      </c>
      <c r="N7" s="27">
        <f t="shared" si="4"/>
        <v>9998.79</v>
      </c>
      <c r="O7" s="15"/>
      <c r="P7" s="15" t="s">
        <v>32</v>
      </c>
      <c r="Q7" s="15" t="s">
        <v>33</v>
      </c>
      <c r="R7" s="15" t="s">
        <v>32</v>
      </c>
      <c r="S7" s="15" t="s">
        <v>21</v>
      </c>
      <c r="T7" s="16">
        <v>127.78</v>
      </c>
      <c r="U7" s="17">
        <f t="shared" si="2"/>
        <v>9998.785</v>
      </c>
    </row>
    <row r="8" ht="45" customHeight="1" spans="1:21">
      <c r="A8" s="14" t="s">
        <v>26</v>
      </c>
      <c r="B8" s="15" t="s">
        <v>49</v>
      </c>
      <c r="C8" s="15" t="s">
        <v>42</v>
      </c>
      <c r="D8" s="15" t="s">
        <v>50</v>
      </c>
      <c r="E8" s="15" t="s">
        <v>51</v>
      </c>
      <c r="F8" s="16">
        <f t="shared" si="0"/>
        <v>8</v>
      </c>
      <c r="G8" s="15" t="s">
        <v>52</v>
      </c>
      <c r="H8" s="17">
        <v>995</v>
      </c>
      <c r="I8" s="17">
        <f t="shared" si="1"/>
        <v>896.9925</v>
      </c>
      <c r="J8" s="24">
        <f t="shared" si="3"/>
        <v>840.928125</v>
      </c>
      <c r="K8" s="25">
        <v>0.0985</v>
      </c>
      <c r="L8" s="26">
        <v>0.25</v>
      </c>
      <c r="M8" s="24">
        <f>ROUND(I8,2)+(ROUND(I8,2)*L8)</f>
        <v>1121.2375</v>
      </c>
      <c r="N8" s="27">
        <f t="shared" si="4"/>
        <v>8969.92</v>
      </c>
      <c r="O8" s="15"/>
      <c r="P8" s="15" t="s">
        <v>32</v>
      </c>
      <c r="Q8" s="15" t="s">
        <v>33</v>
      </c>
      <c r="R8" s="15" t="s">
        <v>32</v>
      </c>
      <c r="S8" s="15" t="s">
        <v>21</v>
      </c>
      <c r="T8" s="16">
        <v>8</v>
      </c>
      <c r="U8" s="17">
        <f t="shared" si="2"/>
        <v>8969.92</v>
      </c>
    </row>
    <row r="9" ht="45" customHeight="1" spans="1:21">
      <c r="A9" s="14" t="s">
        <v>26</v>
      </c>
      <c r="B9" s="15" t="s">
        <v>53</v>
      </c>
      <c r="C9" s="15" t="s">
        <v>42</v>
      </c>
      <c r="D9" s="15" t="s">
        <v>54</v>
      </c>
      <c r="E9" s="15" t="s">
        <v>55</v>
      </c>
      <c r="F9" s="16">
        <f t="shared" si="0"/>
        <v>8</v>
      </c>
      <c r="G9" s="15" t="s">
        <v>52</v>
      </c>
      <c r="H9" s="17">
        <v>777.34</v>
      </c>
      <c r="I9" s="17">
        <f t="shared" si="1"/>
        <v>700.77201</v>
      </c>
      <c r="J9" s="24">
        <f t="shared" si="3"/>
        <v>656.971875</v>
      </c>
      <c r="K9" s="25">
        <v>0.0985</v>
      </c>
      <c r="L9" s="26">
        <v>0.25</v>
      </c>
      <c r="M9" s="24">
        <f>ROUND(I9,2)+(ROUND(I9,2)*L9)</f>
        <v>875.9625</v>
      </c>
      <c r="N9" s="27">
        <f t="shared" si="4"/>
        <v>7007.68</v>
      </c>
      <c r="O9" s="15"/>
      <c r="P9" s="15" t="s">
        <v>32</v>
      </c>
      <c r="Q9" s="15" t="s">
        <v>33</v>
      </c>
      <c r="R9" s="15" t="s">
        <v>32</v>
      </c>
      <c r="S9" s="15" t="s">
        <v>21</v>
      </c>
      <c r="T9" s="16">
        <v>8</v>
      </c>
      <c r="U9" s="17">
        <f t="shared" si="2"/>
        <v>7007.68</v>
      </c>
    </row>
    <row r="10" ht="45" customHeight="1" spans="1:21">
      <c r="A10" s="14" t="s">
        <v>26</v>
      </c>
      <c r="B10" s="15" t="s">
        <v>56</v>
      </c>
      <c r="C10" s="15" t="s">
        <v>42</v>
      </c>
      <c r="D10" s="15" t="s">
        <v>57</v>
      </c>
      <c r="E10" s="15" t="s">
        <v>58</v>
      </c>
      <c r="F10" s="16">
        <f t="shared" si="0"/>
        <v>8</v>
      </c>
      <c r="G10" s="15" t="s">
        <v>52</v>
      </c>
      <c r="H10" s="17">
        <v>1243.75</v>
      </c>
      <c r="I10" s="17">
        <f t="shared" si="1"/>
        <v>1121.240625</v>
      </c>
      <c r="J10" s="24">
        <f t="shared" si="3"/>
        <v>1051.1625</v>
      </c>
      <c r="K10" s="25">
        <v>0.0985</v>
      </c>
      <c r="L10" s="26">
        <v>0.25</v>
      </c>
      <c r="M10" s="24">
        <f>ROUND(I10,2)+(ROUND(I10,2)*L10)</f>
        <v>1401.55</v>
      </c>
      <c r="N10" s="27">
        <f t="shared" si="4"/>
        <v>11212.4</v>
      </c>
      <c r="O10" s="15"/>
      <c r="P10" s="15" t="s">
        <v>32</v>
      </c>
      <c r="Q10" s="15" t="s">
        <v>33</v>
      </c>
      <c r="R10" s="15" t="s">
        <v>32</v>
      </c>
      <c r="S10" s="15" t="s">
        <v>21</v>
      </c>
      <c r="T10" s="16">
        <v>8</v>
      </c>
      <c r="U10" s="17">
        <f t="shared" si="2"/>
        <v>11212.4</v>
      </c>
    </row>
    <row r="11" ht="45" customHeight="1" spans="1:21">
      <c r="A11" s="14" t="s">
        <v>26</v>
      </c>
      <c r="B11" s="15" t="s">
        <v>59</v>
      </c>
      <c r="C11" s="15" t="s">
        <v>42</v>
      </c>
      <c r="D11" s="15" t="s">
        <v>60</v>
      </c>
      <c r="E11" s="15" t="s">
        <v>61</v>
      </c>
      <c r="F11" s="16">
        <f>T11+T12+T13+T14+T15+T16+T17+T18+T19+T20+T21</f>
        <v>1</v>
      </c>
      <c r="G11" s="15" t="s">
        <v>40</v>
      </c>
      <c r="H11" s="17">
        <v>326219.72</v>
      </c>
      <c r="I11" s="17">
        <f>H11-H11*K16</f>
        <v>297884.558931956</v>
      </c>
      <c r="J11" s="24">
        <f>M11-M11*L10</f>
        <v>279266.775</v>
      </c>
      <c r="K11" s="25"/>
      <c r="L11" s="26">
        <v>0.25</v>
      </c>
      <c r="M11" s="24">
        <f>ROUND(I11,2)+(ROUND(I11,2)*L11)</f>
        <v>372355.7</v>
      </c>
      <c r="N11" s="27">
        <f>ROUND(U11,2)+ROUND(U12,2)+ROUND(U13,2)+ROUND(U14,2)+ROUND(U15,2)+ROUND(U16,2)+ROUND(U17,2)+ROUND(U18,2)+ROUND(U19,2)+ROUND(U20,2)+ROUND(U21,2)</f>
        <v>372355.69</v>
      </c>
      <c r="O11" s="15"/>
      <c r="P11" s="15" t="s">
        <v>32</v>
      </c>
      <c r="Q11" s="15" t="s">
        <v>33</v>
      </c>
      <c r="R11" s="15" t="s">
        <v>32</v>
      </c>
      <c r="S11" s="15" t="s">
        <v>21</v>
      </c>
      <c r="T11" s="16">
        <v>0.09</v>
      </c>
      <c r="U11" s="17">
        <f t="shared" si="2"/>
        <v>33512.013</v>
      </c>
    </row>
    <row r="12" ht="45" customHeight="1" spans="2:21">
      <c r="B12" s="18"/>
      <c r="C12" s="18"/>
      <c r="D12" s="18"/>
      <c r="E12" s="18"/>
      <c r="F12" s="18"/>
      <c r="G12" s="18"/>
      <c r="H12" s="18"/>
      <c r="I12" s="17"/>
      <c r="J12" s="28"/>
      <c r="K12" s="25"/>
      <c r="L12" s="18"/>
      <c r="M12" s="28"/>
      <c r="N12" s="18"/>
      <c r="O12" s="18"/>
      <c r="P12" s="18"/>
      <c r="Q12" s="18"/>
      <c r="R12" s="15" t="s">
        <v>62</v>
      </c>
      <c r="S12" s="15" t="s">
        <v>63</v>
      </c>
      <c r="T12" s="16">
        <v>0.12</v>
      </c>
      <c r="U12" s="17">
        <f>ROUND(M11,2)*T12</f>
        <v>44682.684</v>
      </c>
    </row>
    <row r="13" ht="45" customHeight="1" spans="2:21">
      <c r="B13" s="18"/>
      <c r="C13" s="18"/>
      <c r="D13" s="18"/>
      <c r="E13" s="18"/>
      <c r="F13" s="18"/>
      <c r="G13" s="18"/>
      <c r="H13" s="18"/>
      <c r="I13" s="17"/>
      <c r="J13" s="28"/>
      <c r="K13" s="25"/>
      <c r="L13" s="18"/>
      <c r="M13" s="28"/>
      <c r="N13" s="18"/>
      <c r="O13" s="18"/>
      <c r="P13" s="18"/>
      <c r="Q13" s="18"/>
      <c r="R13" s="15" t="s">
        <v>64</v>
      </c>
      <c r="S13" s="15" t="s">
        <v>65</v>
      </c>
      <c r="T13" s="16">
        <v>0.08</v>
      </c>
      <c r="U13" s="17">
        <f>ROUND(M11,2)*T13</f>
        <v>29788.456</v>
      </c>
    </row>
    <row r="14" ht="45" customHeight="1" spans="2:21">
      <c r="B14" s="18"/>
      <c r="C14" s="18"/>
      <c r="D14" s="18"/>
      <c r="E14" s="18"/>
      <c r="F14" s="18"/>
      <c r="G14" s="18"/>
      <c r="H14" s="18"/>
      <c r="I14" s="17"/>
      <c r="J14" s="28"/>
      <c r="K14" s="25"/>
      <c r="L14" s="18"/>
      <c r="M14" s="28"/>
      <c r="N14" s="18"/>
      <c r="O14" s="18"/>
      <c r="P14" s="18"/>
      <c r="Q14" s="18"/>
      <c r="R14" s="15" t="s">
        <v>66</v>
      </c>
      <c r="S14" s="15" t="s">
        <v>67</v>
      </c>
      <c r="T14" s="16">
        <v>0.11</v>
      </c>
      <c r="U14" s="17">
        <f>ROUND(M11,2)*T14</f>
        <v>40959.127</v>
      </c>
    </row>
    <row r="15" ht="45" customHeight="1" spans="2:21">
      <c r="B15" s="18"/>
      <c r="C15" s="18"/>
      <c r="D15" s="18"/>
      <c r="E15" s="18"/>
      <c r="F15" s="18"/>
      <c r="G15" s="18"/>
      <c r="H15" s="18"/>
      <c r="I15" s="17"/>
      <c r="J15" s="28"/>
      <c r="K15" s="25"/>
      <c r="L15" s="18"/>
      <c r="M15" s="28"/>
      <c r="N15" s="18"/>
      <c r="O15" s="18"/>
      <c r="P15" s="18"/>
      <c r="Q15" s="18"/>
      <c r="R15" s="15" t="s">
        <v>68</v>
      </c>
      <c r="S15" s="15" t="s">
        <v>69</v>
      </c>
      <c r="T15" s="16">
        <v>0.08</v>
      </c>
      <c r="U15" s="17">
        <f>ROUND(M11,2)*T15</f>
        <v>29788.456</v>
      </c>
    </row>
    <row r="16" ht="45" customHeight="1" spans="2:21">
      <c r="B16" s="18"/>
      <c r="C16" s="18"/>
      <c r="D16" s="18"/>
      <c r="E16" s="18"/>
      <c r="F16" s="18"/>
      <c r="G16" s="18"/>
      <c r="H16" s="18"/>
      <c r="I16" s="17"/>
      <c r="J16" s="28"/>
      <c r="K16" s="25">
        <v>0.08685913</v>
      </c>
      <c r="L16" s="18"/>
      <c r="M16" s="28"/>
      <c r="N16" s="18"/>
      <c r="O16" s="18"/>
      <c r="P16" s="18"/>
      <c r="Q16" s="18"/>
      <c r="R16" s="15" t="s">
        <v>70</v>
      </c>
      <c r="S16" s="15" t="s">
        <v>71</v>
      </c>
      <c r="T16" s="16">
        <v>0.1</v>
      </c>
      <c r="U16" s="17">
        <f>ROUND(M11,2)*T16</f>
        <v>37235.57</v>
      </c>
    </row>
    <row r="17" ht="45" customHeight="1" spans="2:21">
      <c r="B17" s="18"/>
      <c r="C17" s="18"/>
      <c r="D17" s="18"/>
      <c r="E17" s="18"/>
      <c r="F17" s="18"/>
      <c r="G17" s="18"/>
      <c r="H17" s="18"/>
      <c r="I17" s="17"/>
      <c r="J17" s="28"/>
      <c r="K17" s="25"/>
      <c r="L17" s="18"/>
      <c r="M17" s="28"/>
      <c r="N17" s="18"/>
      <c r="O17" s="18"/>
      <c r="P17" s="18"/>
      <c r="Q17" s="18"/>
      <c r="R17" s="15" t="s">
        <v>72</v>
      </c>
      <c r="S17" s="15" t="s">
        <v>73</v>
      </c>
      <c r="T17" s="16">
        <v>0.06</v>
      </c>
      <c r="U17" s="17">
        <f>ROUND(M11,2)*T17</f>
        <v>22341.342</v>
      </c>
    </row>
    <row r="18" ht="45" customHeight="1" spans="2:21">
      <c r="B18" s="18"/>
      <c r="C18" s="18"/>
      <c r="D18" s="18"/>
      <c r="E18" s="18"/>
      <c r="F18" s="18"/>
      <c r="G18" s="18"/>
      <c r="H18" s="18"/>
      <c r="I18" s="17"/>
      <c r="J18" s="28"/>
      <c r="K18" s="25"/>
      <c r="L18" s="18"/>
      <c r="M18" s="28"/>
      <c r="N18" s="18"/>
      <c r="O18" s="18"/>
      <c r="P18" s="18"/>
      <c r="Q18" s="18"/>
      <c r="R18" s="15" t="s">
        <v>74</v>
      </c>
      <c r="S18" s="15" t="s">
        <v>75</v>
      </c>
      <c r="T18" s="16">
        <v>0.06</v>
      </c>
      <c r="U18" s="17">
        <f>ROUND(M11,2)*T18</f>
        <v>22341.342</v>
      </c>
    </row>
    <row r="19" ht="45" customHeight="1" spans="2:21">
      <c r="B19" s="18"/>
      <c r="C19" s="18"/>
      <c r="D19" s="18"/>
      <c r="E19" s="18"/>
      <c r="F19" s="18"/>
      <c r="G19" s="18"/>
      <c r="H19" s="18"/>
      <c r="I19" s="17"/>
      <c r="J19" s="28"/>
      <c r="K19" s="25"/>
      <c r="L19" s="18"/>
      <c r="M19" s="28"/>
      <c r="N19" s="18"/>
      <c r="O19" s="18"/>
      <c r="P19" s="18"/>
      <c r="Q19" s="18"/>
      <c r="R19" s="15" t="s">
        <v>76</v>
      </c>
      <c r="S19" s="15" t="s">
        <v>77</v>
      </c>
      <c r="T19" s="16">
        <v>0.09</v>
      </c>
      <c r="U19" s="17">
        <f>ROUND(M11,2)*T19</f>
        <v>33512.013</v>
      </c>
    </row>
    <row r="20" ht="45" customHeight="1" spans="2:21">
      <c r="B20" s="18"/>
      <c r="C20" s="18"/>
      <c r="D20" s="18"/>
      <c r="E20" s="18"/>
      <c r="F20" s="18"/>
      <c r="G20" s="18"/>
      <c r="H20" s="18"/>
      <c r="I20" s="17"/>
      <c r="J20" s="28"/>
      <c r="K20" s="25"/>
      <c r="L20" s="18"/>
      <c r="M20" s="28"/>
      <c r="N20" s="18"/>
      <c r="O20" s="18"/>
      <c r="P20" s="18"/>
      <c r="Q20" s="18"/>
      <c r="R20" s="15" t="s">
        <v>78</v>
      </c>
      <c r="S20" s="15" t="s">
        <v>79</v>
      </c>
      <c r="T20" s="16">
        <v>0.09</v>
      </c>
      <c r="U20" s="17">
        <f>ROUND(M11,2)*T20</f>
        <v>33512.013</v>
      </c>
    </row>
    <row r="21" ht="45" customHeight="1" spans="2:21">
      <c r="B21" s="18"/>
      <c r="C21" s="18"/>
      <c r="D21" s="18"/>
      <c r="E21" s="18"/>
      <c r="F21" s="18"/>
      <c r="G21" s="18"/>
      <c r="H21" s="18"/>
      <c r="I21" s="17"/>
      <c r="J21" s="28"/>
      <c r="K21" s="25"/>
      <c r="L21" s="18"/>
      <c r="M21" s="28"/>
      <c r="N21" s="18"/>
      <c r="O21" s="18"/>
      <c r="P21" s="18"/>
      <c r="Q21" s="18"/>
      <c r="R21" s="15" t="s">
        <v>80</v>
      </c>
      <c r="S21" s="15" t="s">
        <v>81</v>
      </c>
      <c r="T21" s="16">
        <v>0.12</v>
      </c>
      <c r="U21" s="17">
        <f>ROUND(M11,2)*T21</f>
        <v>44682.684</v>
      </c>
    </row>
    <row r="22" ht="45" customHeight="1" spans="1:21">
      <c r="A22" s="14" t="s">
        <v>26</v>
      </c>
      <c r="B22" s="15" t="s">
        <v>82</v>
      </c>
      <c r="C22" s="15" t="s">
        <v>28</v>
      </c>
      <c r="D22" s="15" t="s">
        <v>83</v>
      </c>
      <c r="E22" s="15" t="s">
        <v>84</v>
      </c>
      <c r="F22" s="16">
        <f t="shared" ref="F22:F85" si="5">T22</f>
        <v>1575</v>
      </c>
      <c r="G22" s="15" t="s">
        <v>31</v>
      </c>
      <c r="H22" s="17">
        <v>0.64</v>
      </c>
      <c r="I22" s="17">
        <f t="shared" ref="I22:I85" si="6">H22-H22*K22</f>
        <v>0.57696</v>
      </c>
      <c r="J22" s="24">
        <f>M22-M22*L22</f>
        <v>0.54</v>
      </c>
      <c r="K22" s="25">
        <v>0.0985</v>
      </c>
      <c r="L22" s="26">
        <v>0.25</v>
      </c>
      <c r="M22" s="24">
        <v>0.72</v>
      </c>
      <c r="N22" s="27">
        <f t="shared" ref="N22:N85" si="7">ROUND(U22,2)</f>
        <v>1134</v>
      </c>
      <c r="O22" s="15"/>
      <c r="P22" s="15" t="s">
        <v>62</v>
      </c>
      <c r="Q22" s="15" t="s">
        <v>85</v>
      </c>
      <c r="R22" s="15" t="s">
        <v>32</v>
      </c>
      <c r="S22" s="15" t="s">
        <v>21</v>
      </c>
      <c r="T22" s="16">
        <v>1575</v>
      </c>
      <c r="U22" s="17">
        <f t="shared" ref="U22:U85" si="8">ROUND(M22,2)*T22</f>
        <v>1134</v>
      </c>
    </row>
    <row r="23" ht="45" customHeight="1" spans="1:21">
      <c r="A23" s="14" t="s">
        <v>26</v>
      </c>
      <c r="B23" s="15" t="s">
        <v>86</v>
      </c>
      <c r="C23" s="15" t="s">
        <v>28</v>
      </c>
      <c r="D23" s="15" t="s">
        <v>87</v>
      </c>
      <c r="E23" s="15" t="s">
        <v>88</v>
      </c>
      <c r="F23" s="16">
        <f t="shared" si="5"/>
        <v>158.44</v>
      </c>
      <c r="G23" s="15" t="s">
        <v>89</v>
      </c>
      <c r="H23" s="17">
        <v>68.09</v>
      </c>
      <c r="I23" s="17">
        <f t="shared" si="6"/>
        <v>61.3756451</v>
      </c>
      <c r="J23" s="24">
        <f t="shared" ref="J23:J86" si="9">M23-M23*L23</f>
        <v>57.54</v>
      </c>
      <c r="K23" s="25">
        <v>0.09861</v>
      </c>
      <c r="L23" s="26">
        <v>0.25</v>
      </c>
      <c r="M23" s="24">
        <v>76.72</v>
      </c>
      <c r="N23" s="27">
        <f t="shared" si="7"/>
        <v>12155.52</v>
      </c>
      <c r="O23" s="15"/>
      <c r="P23" s="15" t="s">
        <v>62</v>
      </c>
      <c r="Q23" s="15" t="s">
        <v>85</v>
      </c>
      <c r="R23" s="15" t="s">
        <v>32</v>
      </c>
      <c r="S23" s="15" t="s">
        <v>21</v>
      </c>
      <c r="T23" s="16">
        <v>158.44</v>
      </c>
      <c r="U23" s="17">
        <f t="shared" si="8"/>
        <v>12155.5168</v>
      </c>
    </row>
    <row r="24" ht="45" customHeight="1" spans="1:21">
      <c r="A24" s="14" t="s">
        <v>26</v>
      </c>
      <c r="B24" s="15" t="s">
        <v>90</v>
      </c>
      <c r="C24" s="15" t="s">
        <v>28</v>
      </c>
      <c r="D24" s="15" t="s">
        <v>91</v>
      </c>
      <c r="E24" s="15" t="s">
        <v>92</v>
      </c>
      <c r="F24" s="16">
        <f t="shared" si="5"/>
        <v>250.58</v>
      </c>
      <c r="G24" s="15" t="s">
        <v>89</v>
      </c>
      <c r="H24" s="17">
        <v>88.5</v>
      </c>
      <c r="I24" s="17">
        <f t="shared" si="6"/>
        <v>79.74735</v>
      </c>
      <c r="J24" s="24">
        <f t="shared" si="9"/>
        <v>74.765625</v>
      </c>
      <c r="K24" s="25">
        <v>0.0989</v>
      </c>
      <c r="L24" s="26">
        <v>0.25</v>
      </c>
      <c r="M24" s="24">
        <f>ROUND(I24,2)+(ROUND(I24,2)*L24)</f>
        <v>99.6875</v>
      </c>
      <c r="N24" s="27">
        <f t="shared" si="7"/>
        <v>24980.32</v>
      </c>
      <c r="O24" s="15"/>
      <c r="P24" s="15" t="s">
        <v>62</v>
      </c>
      <c r="Q24" s="15" t="s">
        <v>85</v>
      </c>
      <c r="R24" s="15" t="s">
        <v>32</v>
      </c>
      <c r="S24" s="15" t="s">
        <v>21</v>
      </c>
      <c r="T24" s="16">
        <v>250.58</v>
      </c>
      <c r="U24" s="17">
        <f t="shared" si="8"/>
        <v>24980.3202</v>
      </c>
    </row>
    <row r="25" ht="45" customHeight="1" spans="1:21">
      <c r="A25" s="14" t="s">
        <v>26</v>
      </c>
      <c r="B25" s="15" t="s">
        <v>93</v>
      </c>
      <c r="C25" s="15" t="s">
        <v>28</v>
      </c>
      <c r="D25" s="15" t="s">
        <v>94</v>
      </c>
      <c r="E25" s="15" t="s">
        <v>95</v>
      </c>
      <c r="F25" s="16">
        <f t="shared" si="5"/>
        <v>107.09</v>
      </c>
      <c r="G25" s="15" t="s">
        <v>31</v>
      </c>
      <c r="H25" s="17">
        <v>2.99</v>
      </c>
      <c r="I25" s="17">
        <f t="shared" si="6"/>
        <v>2.695485</v>
      </c>
      <c r="J25" s="24">
        <f t="shared" si="9"/>
        <v>2.5275</v>
      </c>
      <c r="K25" s="25">
        <v>0.0985</v>
      </c>
      <c r="L25" s="26">
        <v>0.25</v>
      </c>
      <c r="M25" s="24">
        <v>3.37</v>
      </c>
      <c r="N25" s="27">
        <f t="shared" si="7"/>
        <v>360.89</v>
      </c>
      <c r="O25" s="15"/>
      <c r="P25" s="15" t="s">
        <v>62</v>
      </c>
      <c r="Q25" s="15" t="s">
        <v>85</v>
      </c>
      <c r="R25" s="15" t="s">
        <v>32</v>
      </c>
      <c r="S25" s="15" t="s">
        <v>21</v>
      </c>
      <c r="T25" s="16">
        <v>107.09</v>
      </c>
      <c r="U25" s="17">
        <f t="shared" si="8"/>
        <v>360.8933</v>
      </c>
    </row>
    <row r="26" ht="66" customHeight="1" spans="1:21">
      <c r="A26" s="14" t="s">
        <v>26</v>
      </c>
      <c r="B26" s="15" t="s">
        <v>96</v>
      </c>
      <c r="C26" s="15" t="s">
        <v>28</v>
      </c>
      <c r="D26" s="15" t="s">
        <v>97</v>
      </c>
      <c r="E26" s="15" t="s">
        <v>98</v>
      </c>
      <c r="F26" s="16">
        <f t="shared" si="5"/>
        <v>210.86</v>
      </c>
      <c r="G26" s="15" t="s">
        <v>89</v>
      </c>
      <c r="H26" s="17">
        <v>12.97</v>
      </c>
      <c r="I26" s="17">
        <f t="shared" si="6"/>
        <v>11.692455</v>
      </c>
      <c r="J26" s="24">
        <f t="shared" si="9"/>
        <v>10.959375</v>
      </c>
      <c r="K26" s="25">
        <v>0.0985</v>
      </c>
      <c r="L26" s="26">
        <v>0.25</v>
      </c>
      <c r="M26" s="24">
        <f>ROUND(I26,2)+(ROUND(I26,2)*L26)</f>
        <v>14.6125</v>
      </c>
      <c r="N26" s="27">
        <f t="shared" si="7"/>
        <v>3080.66</v>
      </c>
      <c r="O26" s="15"/>
      <c r="P26" s="15" t="s">
        <v>62</v>
      </c>
      <c r="Q26" s="15" t="s">
        <v>85</v>
      </c>
      <c r="R26" s="15" t="s">
        <v>32</v>
      </c>
      <c r="S26" s="15" t="s">
        <v>21</v>
      </c>
      <c r="T26" s="16">
        <v>210.86</v>
      </c>
      <c r="U26" s="17">
        <f t="shared" si="8"/>
        <v>3080.6646</v>
      </c>
    </row>
    <row r="27" ht="45" customHeight="1" spans="1:21">
      <c r="A27" s="14" t="s">
        <v>26</v>
      </c>
      <c r="B27" s="15" t="s">
        <v>99</v>
      </c>
      <c r="C27" s="15" t="s">
        <v>28</v>
      </c>
      <c r="D27" s="15" t="s">
        <v>91</v>
      </c>
      <c r="E27" s="15" t="s">
        <v>92</v>
      </c>
      <c r="F27" s="16">
        <f t="shared" si="5"/>
        <v>15.68</v>
      </c>
      <c r="G27" s="15" t="s">
        <v>89</v>
      </c>
      <c r="H27" s="17">
        <v>88.5</v>
      </c>
      <c r="I27" s="17">
        <f t="shared" si="6"/>
        <v>79.74735</v>
      </c>
      <c r="J27" s="24">
        <f t="shared" si="9"/>
        <v>74.765625</v>
      </c>
      <c r="K27" s="25">
        <v>0.0989</v>
      </c>
      <c r="L27" s="26">
        <v>0.25</v>
      </c>
      <c r="M27" s="24">
        <f>ROUND(I27,2)+(ROUND(I27,2)*L27)</f>
        <v>99.6875</v>
      </c>
      <c r="N27" s="27">
        <f t="shared" si="7"/>
        <v>1563.14</v>
      </c>
      <c r="O27" s="15"/>
      <c r="P27" s="15" t="s">
        <v>62</v>
      </c>
      <c r="Q27" s="15" t="s">
        <v>85</v>
      </c>
      <c r="R27" s="15" t="s">
        <v>32</v>
      </c>
      <c r="S27" s="15" t="s">
        <v>21</v>
      </c>
      <c r="T27" s="16">
        <v>15.68</v>
      </c>
      <c r="U27" s="17">
        <f t="shared" si="8"/>
        <v>1563.1392</v>
      </c>
    </row>
    <row r="28" ht="45" customHeight="1" spans="1:21">
      <c r="A28" s="14" t="s">
        <v>26</v>
      </c>
      <c r="B28" s="15" t="s">
        <v>100</v>
      </c>
      <c r="C28" s="15" t="s">
        <v>28</v>
      </c>
      <c r="D28" s="15" t="s">
        <v>94</v>
      </c>
      <c r="E28" s="15" t="s">
        <v>95</v>
      </c>
      <c r="F28" s="16">
        <f t="shared" si="5"/>
        <v>13.37</v>
      </c>
      <c r="G28" s="15" t="s">
        <v>31</v>
      </c>
      <c r="H28" s="17">
        <v>2.99</v>
      </c>
      <c r="I28" s="17">
        <f t="shared" si="6"/>
        <v>2.695485</v>
      </c>
      <c r="J28" s="24">
        <f t="shared" si="9"/>
        <v>2.5275</v>
      </c>
      <c r="K28" s="25">
        <v>0.0985</v>
      </c>
      <c r="L28" s="26">
        <v>0.25</v>
      </c>
      <c r="M28" s="24">
        <v>3.37</v>
      </c>
      <c r="N28" s="27">
        <f t="shared" si="7"/>
        <v>45.06</v>
      </c>
      <c r="O28" s="15"/>
      <c r="P28" s="15" t="s">
        <v>62</v>
      </c>
      <c r="Q28" s="15" t="s">
        <v>85</v>
      </c>
      <c r="R28" s="15" t="s">
        <v>32</v>
      </c>
      <c r="S28" s="15" t="s">
        <v>21</v>
      </c>
      <c r="T28" s="16">
        <v>13.37</v>
      </c>
      <c r="U28" s="17">
        <f t="shared" si="8"/>
        <v>45.0569</v>
      </c>
    </row>
    <row r="29" ht="68.25" customHeight="1" spans="1:21">
      <c r="A29" s="14" t="s">
        <v>26</v>
      </c>
      <c r="B29" s="15" t="s">
        <v>101</v>
      </c>
      <c r="C29" s="15" t="s">
        <v>28</v>
      </c>
      <c r="D29" s="15" t="s">
        <v>97</v>
      </c>
      <c r="E29" s="15" t="s">
        <v>98</v>
      </c>
      <c r="F29" s="16">
        <f t="shared" si="5"/>
        <v>11.42</v>
      </c>
      <c r="G29" s="15" t="s">
        <v>89</v>
      </c>
      <c r="H29" s="17">
        <v>12.97</v>
      </c>
      <c r="I29" s="17">
        <f t="shared" si="6"/>
        <v>11.692455</v>
      </c>
      <c r="J29" s="24">
        <f t="shared" si="9"/>
        <v>10.959375</v>
      </c>
      <c r="K29" s="25">
        <v>0.0985</v>
      </c>
      <c r="L29" s="26">
        <v>0.25</v>
      </c>
      <c r="M29" s="24">
        <f>ROUND(I29,2)+(ROUND(I29,2)*L29)</f>
        <v>14.6125</v>
      </c>
      <c r="N29" s="27">
        <f t="shared" si="7"/>
        <v>166.85</v>
      </c>
      <c r="O29" s="15"/>
      <c r="P29" s="15" t="s">
        <v>62</v>
      </c>
      <c r="Q29" s="15" t="s">
        <v>85</v>
      </c>
      <c r="R29" s="15" t="s">
        <v>32</v>
      </c>
      <c r="S29" s="15" t="s">
        <v>21</v>
      </c>
      <c r="T29" s="16">
        <v>11.42</v>
      </c>
      <c r="U29" s="17">
        <f t="shared" si="8"/>
        <v>166.8462</v>
      </c>
    </row>
    <row r="30" ht="45" customHeight="1" spans="1:21">
      <c r="A30" s="14" t="s">
        <v>26</v>
      </c>
      <c r="B30" s="15" t="s">
        <v>102</v>
      </c>
      <c r="C30" s="15" t="s">
        <v>28</v>
      </c>
      <c r="D30" s="15" t="s">
        <v>91</v>
      </c>
      <c r="E30" s="15" t="s">
        <v>92</v>
      </c>
      <c r="F30" s="16">
        <f t="shared" si="5"/>
        <v>3.65</v>
      </c>
      <c r="G30" s="15" t="s">
        <v>89</v>
      </c>
      <c r="H30" s="17">
        <v>88.5</v>
      </c>
      <c r="I30" s="17">
        <f t="shared" si="6"/>
        <v>79.74735</v>
      </c>
      <c r="J30" s="24">
        <f t="shared" si="9"/>
        <v>74.765625</v>
      </c>
      <c r="K30" s="25">
        <v>0.0989</v>
      </c>
      <c r="L30" s="26">
        <v>0.25</v>
      </c>
      <c r="M30" s="24">
        <f>ROUND(I30,2)+(ROUND(I30,2)*L30)</f>
        <v>99.6875</v>
      </c>
      <c r="N30" s="27">
        <f t="shared" si="7"/>
        <v>363.87</v>
      </c>
      <c r="O30" s="15"/>
      <c r="P30" s="15" t="s">
        <v>62</v>
      </c>
      <c r="Q30" s="15" t="s">
        <v>85</v>
      </c>
      <c r="R30" s="15" t="s">
        <v>32</v>
      </c>
      <c r="S30" s="15" t="s">
        <v>21</v>
      </c>
      <c r="T30" s="16">
        <v>3.65</v>
      </c>
      <c r="U30" s="17">
        <f t="shared" si="8"/>
        <v>363.8685</v>
      </c>
    </row>
    <row r="31" ht="45" customHeight="1" spans="1:21">
      <c r="A31" s="14" t="s">
        <v>26</v>
      </c>
      <c r="B31" s="15" t="s">
        <v>103</v>
      </c>
      <c r="C31" s="15" t="s">
        <v>28</v>
      </c>
      <c r="D31" s="15" t="s">
        <v>94</v>
      </c>
      <c r="E31" s="15" t="s">
        <v>95</v>
      </c>
      <c r="F31" s="16">
        <f t="shared" si="5"/>
        <v>4.84</v>
      </c>
      <c r="G31" s="15" t="s">
        <v>31</v>
      </c>
      <c r="H31" s="17">
        <v>2.99</v>
      </c>
      <c r="I31" s="17">
        <f t="shared" si="6"/>
        <v>2.695485</v>
      </c>
      <c r="J31" s="24">
        <f t="shared" si="9"/>
        <v>2.5275</v>
      </c>
      <c r="K31" s="25">
        <v>0.0985</v>
      </c>
      <c r="L31" s="26">
        <v>0.25</v>
      </c>
      <c r="M31" s="24">
        <v>3.37</v>
      </c>
      <c r="N31" s="27">
        <f t="shared" si="7"/>
        <v>16.31</v>
      </c>
      <c r="O31" s="15"/>
      <c r="P31" s="15" t="s">
        <v>62</v>
      </c>
      <c r="Q31" s="15" t="s">
        <v>85</v>
      </c>
      <c r="R31" s="15" t="s">
        <v>32</v>
      </c>
      <c r="S31" s="15" t="s">
        <v>21</v>
      </c>
      <c r="T31" s="16">
        <v>4.84</v>
      </c>
      <c r="U31" s="17">
        <f t="shared" si="8"/>
        <v>16.3108</v>
      </c>
    </row>
    <row r="32" ht="66" customHeight="1" spans="1:21">
      <c r="A32" s="14" t="s">
        <v>26</v>
      </c>
      <c r="B32" s="15" t="s">
        <v>104</v>
      </c>
      <c r="C32" s="15" t="s">
        <v>28</v>
      </c>
      <c r="D32" s="15" t="s">
        <v>97</v>
      </c>
      <c r="E32" s="15" t="s">
        <v>98</v>
      </c>
      <c r="F32" s="16">
        <f t="shared" si="5"/>
        <v>1.23</v>
      </c>
      <c r="G32" s="15" t="s">
        <v>89</v>
      </c>
      <c r="H32" s="17">
        <v>12.97</v>
      </c>
      <c r="I32" s="17">
        <f t="shared" si="6"/>
        <v>11.692455</v>
      </c>
      <c r="J32" s="24">
        <f t="shared" si="9"/>
        <v>10.959375</v>
      </c>
      <c r="K32" s="25">
        <v>0.0985</v>
      </c>
      <c r="L32" s="26">
        <v>0.25</v>
      </c>
      <c r="M32" s="24">
        <f>ROUND(I32,2)+(ROUND(I32,2)*L32)</f>
        <v>14.6125</v>
      </c>
      <c r="N32" s="27">
        <f t="shared" si="7"/>
        <v>17.97</v>
      </c>
      <c r="O32" s="15"/>
      <c r="P32" s="15" t="s">
        <v>62</v>
      </c>
      <c r="Q32" s="15" t="s">
        <v>85</v>
      </c>
      <c r="R32" s="15" t="s">
        <v>32</v>
      </c>
      <c r="S32" s="15" t="s">
        <v>21</v>
      </c>
      <c r="T32" s="16">
        <v>1.23</v>
      </c>
      <c r="U32" s="17">
        <f t="shared" si="8"/>
        <v>17.9703</v>
      </c>
    </row>
    <row r="33" ht="45" customHeight="1" spans="1:21">
      <c r="A33" s="14" t="s">
        <v>26</v>
      </c>
      <c r="B33" s="15" t="s">
        <v>105</v>
      </c>
      <c r="C33" s="15" t="s">
        <v>28</v>
      </c>
      <c r="D33" s="15" t="s">
        <v>106</v>
      </c>
      <c r="E33" s="15" t="s">
        <v>107</v>
      </c>
      <c r="F33" s="16">
        <f t="shared" si="5"/>
        <v>46.65</v>
      </c>
      <c r="G33" s="15" t="s">
        <v>31</v>
      </c>
      <c r="H33" s="17">
        <v>39.75</v>
      </c>
      <c r="I33" s="17">
        <f t="shared" si="6"/>
        <v>35.834625</v>
      </c>
      <c r="J33" s="24">
        <f t="shared" si="9"/>
        <v>11.28</v>
      </c>
      <c r="K33" s="25">
        <v>0.0985</v>
      </c>
      <c r="L33" s="26">
        <v>0.25</v>
      </c>
      <c r="M33" s="24">
        <v>15.04</v>
      </c>
      <c r="N33" s="27">
        <f t="shared" si="7"/>
        <v>701.62</v>
      </c>
      <c r="O33" s="15"/>
      <c r="P33" s="15" t="s">
        <v>64</v>
      </c>
      <c r="Q33" s="15" t="s">
        <v>108</v>
      </c>
      <c r="R33" s="15" t="s">
        <v>32</v>
      </c>
      <c r="S33" s="15" t="s">
        <v>21</v>
      </c>
      <c r="T33" s="16">
        <v>46.65</v>
      </c>
      <c r="U33" s="17">
        <f t="shared" si="8"/>
        <v>701.616</v>
      </c>
    </row>
    <row r="34" ht="45" customHeight="1" spans="1:21">
      <c r="A34" s="14" t="s">
        <v>26</v>
      </c>
      <c r="B34" s="15" t="s">
        <v>109</v>
      </c>
      <c r="C34" s="15" t="s">
        <v>28</v>
      </c>
      <c r="D34" s="15" t="s">
        <v>110</v>
      </c>
      <c r="E34" s="15" t="s">
        <v>111</v>
      </c>
      <c r="F34" s="16">
        <f t="shared" si="5"/>
        <v>131.71</v>
      </c>
      <c r="G34" s="15" t="s">
        <v>31</v>
      </c>
      <c r="H34" s="17">
        <v>74.98</v>
      </c>
      <c r="I34" s="17">
        <f t="shared" si="6"/>
        <v>67.575725</v>
      </c>
      <c r="J34" s="24">
        <f t="shared" si="9"/>
        <v>63.3525</v>
      </c>
      <c r="K34" s="25">
        <v>0.09875</v>
      </c>
      <c r="L34" s="26">
        <v>0.25</v>
      </c>
      <c r="M34" s="24">
        <v>84.47</v>
      </c>
      <c r="N34" s="27">
        <f t="shared" si="7"/>
        <v>11125.54</v>
      </c>
      <c r="O34" s="15"/>
      <c r="P34" s="15" t="s">
        <v>64</v>
      </c>
      <c r="Q34" s="15" t="s">
        <v>108</v>
      </c>
      <c r="R34" s="15" t="s">
        <v>32</v>
      </c>
      <c r="S34" s="15" t="s">
        <v>21</v>
      </c>
      <c r="T34" s="16">
        <v>131.71</v>
      </c>
      <c r="U34" s="17">
        <f t="shared" si="8"/>
        <v>11125.5437</v>
      </c>
    </row>
    <row r="35" ht="45" customHeight="1" spans="1:21">
      <c r="A35" s="14" t="s">
        <v>26</v>
      </c>
      <c r="B35" s="15" t="s">
        <v>112</v>
      </c>
      <c r="C35" s="15" t="s">
        <v>28</v>
      </c>
      <c r="D35" s="15" t="s">
        <v>113</v>
      </c>
      <c r="E35" s="15" t="s">
        <v>114</v>
      </c>
      <c r="F35" s="16">
        <f t="shared" si="5"/>
        <v>317.2</v>
      </c>
      <c r="G35" s="15" t="s">
        <v>115</v>
      </c>
      <c r="H35" s="17">
        <v>14.32</v>
      </c>
      <c r="I35" s="17">
        <f t="shared" si="6"/>
        <v>12.90232</v>
      </c>
      <c r="J35" s="24">
        <f t="shared" si="9"/>
        <v>12.09375</v>
      </c>
      <c r="K35" s="25">
        <v>0.099</v>
      </c>
      <c r="L35" s="26">
        <v>0.25</v>
      </c>
      <c r="M35" s="24">
        <f>ROUND(I35,2)+(ROUND(I35,2)*L35)</f>
        <v>16.125</v>
      </c>
      <c r="N35" s="27">
        <f t="shared" si="7"/>
        <v>5116.44</v>
      </c>
      <c r="O35" s="15"/>
      <c r="P35" s="15" t="s">
        <v>64</v>
      </c>
      <c r="Q35" s="15" t="s">
        <v>108</v>
      </c>
      <c r="R35" s="15" t="s">
        <v>32</v>
      </c>
      <c r="S35" s="15" t="s">
        <v>21</v>
      </c>
      <c r="T35" s="16">
        <v>317.2</v>
      </c>
      <c r="U35" s="17">
        <f t="shared" si="8"/>
        <v>5116.436</v>
      </c>
    </row>
    <row r="36" ht="45" customHeight="1" spans="1:21">
      <c r="A36" s="14" t="s">
        <v>26</v>
      </c>
      <c r="B36" s="15" t="s">
        <v>116</v>
      </c>
      <c r="C36" s="15" t="s">
        <v>28</v>
      </c>
      <c r="D36" s="15" t="s">
        <v>117</v>
      </c>
      <c r="E36" s="15" t="s">
        <v>118</v>
      </c>
      <c r="F36" s="16">
        <f t="shared" si="5"/>
        <v>41.25</v>
      </c>
      <c r="G36" s="15" t="s">
        <v>115</v>
      </c>
      <c r="H36" s="17">
        <v>13.15</v>
      </c>
      <c r="I36" s="17">
        <f t="shared" si="6"/>
        <v>11.852095</v>
      </c>
      <c r="J36" s="24">
        <f t="shared" si="9"/>
        <v>11.115</v>
      </c>
      <c r="K36" s="25">
        <v>0.0987</v>
      </c>
      <c r="L36" s="26">
        <v>0.25</v>
      </c>
      <c r="M36" s="24">
        <v>14.82</v>
      </c>
      <c r="N36" s="27">
        <f t="shared" si="7"/>
        <v>611.33</v>
      </c>
      <c r="O36" s="15"/>
      <c r="P36" s="15" t="s">
        <v>64</v>
      </c>
      <c r="Q36" s="15" t="s">
        <v>108</v>
      </c>
      <c r="R36" s="15" t="s">
        <v>32</v>
      </c>
      <c r="S36" s="15" t="s">
        <v>21</v>
      </c>
      <c r="T36" s="16">
        <v>41.25</v>
      </c>
      <c r="U36" s="17">
        <f t="shared" si="8"/>
        <v>611.325</v>
      </c>
    </row>
    <row r="37" ht="45" customHeight="1" spans="1:21">
      <c r="A37" s="14" t="s">
        <v>26</v>
      </c>
      <c r="B37" s="15" t="s">
        <v>119</v>
      </c>
      <c r="C37" s="15" t="s">
        <v>28</v>
      </c>
      <c r="D37" s="15" t="s">
        <v>120</v>
      </c>
      <c r="E37" s="15" t="s">
        <v>121</v>
      </c>
      <c r="F37" s="16">
        <f t="shared" si="5"/>
        <v>366.94</v>
      </c>
      <c r="G37" s="15" t="s">
        <v>115</v>
      </c>
      <c r="H37" s="17">
        <v>11.69</v>
      </c>
      <c r="I37" s="17">
        <f t="shared" si="6"/>
        <v>10.53269</v>
      </c>
      <c r="J37" s="24">
        <f t="shared" si="9"/>
        <v>9.8775</v>
      </c>
      <c r="K37" s="25">
        <v>0.099</v>
      </c>
      <c r="L37" s="26">
        <v>0.25</v>
      </c>
      <c r="M37" s="24">
        <v>13.17</v>
      </c>
      <c r="N37" s="27">
        <f t="shared" si="7"/>
        <v>4832.6</v>
      </c>
      <c r="O37" s="15"/>
      <c r="P37" s="15" t="s">
        <v>64</v>
      </c>
      <c r="Q37" s="15" t="s">
        <v>108</v>
      </c>
      <c r="R37" s="15" t="s">
        <v>32</v>
      </c>
      <c r="S37" s="15" t="s">
        <v>21</v>
      </c>
      <c r="T37" s="16">
        <v>366.94</v>
      </c>
      <c r="U37" s="17">
        <f t="shared" si="8"/>
        <v>4832.5998</v>
      </c>
    </row>
    <row r="38" ht="45" customHeight="1" spans="1:21">
      <c r="A38" s="14" t="s">
        <v>26</v>
      </c>
      <c r="B38" s="15" t="s">
        <v>122</v>
      </c>
      <c r="C38" s="15" t="s">
        <v>28</v>
      </c>
      <c r="D38" s="15" t="s">
        <v>123</v>
      </c>
      <c r="E38" s="15" t="s">
        <v>124</v>
      </c>
      <c r="F38" s="16">
        <f t="shared" si="5"/>
        <v>225</v>
      </c>
      <c r="G38" s="15" t="s">
        <v>115</v>
      </c>
      <c r="H38" s="17">
        <v>9.91</v>
      </c>
      <c r="I38" s="17">
        <f t="shared" si="6"/>
        <v>8.933865</v>
      </c>
      <c r="J38" s="24">
        <f t="shared" si="9"/>
        <v>8.371875</v>
      </c>
      <c r="K38" s="25">
        <v>0.0985</v>
      </c>
      <c r="L38" s="26">
        <v>0.25</v>
      </c>
      <c r="M38" s="24">
        <f>ROUND(I38,2)+(ROUND(I38,2)*L38)</f>
        <v>11.1625</v>
      </c>
      <c r="N38" s="27">
        <f t="shared" si="7"/>
        <v>2511</v>
      </c>
      <c r="O38" s="15"/>
      <c r="P38" s="15" t="s">
        <v>64</v>
      </c>
      <c r="Q38" s="15" t="s">
        <v>108</v>
      </c>
      <c r="R38" s="15" t="s">
        <v>32</v>
      </c>
      <c r="S38" s="15" t="s">
        <v>21</v>
      </c>
      <c r="T38" s="16">
        <v>225</v>
      </c>
      <c r="U38" s="17">
        <f t="shared" si="8"/>
        <v>2511</v>
      </c>
    </row>
    <row r="39" ht="45" customHeight="1" spans="1:21">
      <c r="A39" s="14" t="s">
        <v>26</v>
      </c>
      <c r="B39" s="15" t="s">
        <v>125</v>
      </c>
      <c r="C39" s="15" t="s">
        <v>28</v>
      </c>
      <c r="D39" s="15" t="s">
        <v>126</v>
      </c>
      <c r="E39" s="15" t="s">
        <v>127</v>
      </c>
      <c r="F39" s="16">
        <f t="shared" si="5"/>
        <v>134.38</v>
      </c>
      <c r="G39" s="15" t="s">
        <v>115</v>
      </c>
      <c r="H39" s="17">
        <v>15.69</v>
      </c>
      <c r="I39" s="17">
        <f t="shared" si="6"/>
        <v>14.13356769</v>
      </c>
      <c r="J39" s="24">
        <f t="shared" si="9"/>
        <v>13.2525</v>
      </c>
      <c r="K39" s="25">
        <v>0.099199</v>
      </c>
      <c r="L39" s="26">
        <v>0.25</v>
      </c>
      <c r="M39" s="24">
        <v>17.67</v>
      </c>
      <c r="N39" s="27">
        <f t="shared" si="7"/>
        <v>2374.49</v>
      </c>
      <c r="O39" s="15"/>
      <c r="P39" s="15" t="s">
        <v>64</v>
      </c>
      <c r="Q39" s="15" t="s">
        <v>108</v>
      </c>
      <c r="R39" s="15" t="s">
        <v>32</v>
      </c>
      <c r="S39" s="15" t="s">
        <v>21</v>
      </c>
      <c r="T39" s="16">
        <v>134.38</v>
      </c>
      <c r="U39" s="17">
        <f t="shared" si="8"/>
        <v>2374.4946</v>
      </c>
    </row>
    <row r="40" ht="45" customHeight="1" spans="1:21">
      <c r="A40" s="14" t="s">
        <v>26</v>
      </c>
      <c r="B40" s="15" t="s">
        <v>128</v>
      </c>
      <c r="C40" s="15" t="s">
        <v>28</v>
      </c>
      <c r="D40" s="15" t="s">
        <v>129</v>
      </c>
      <c r="E40" s="15" t="s">
        <v>130</v>
      </c>
      <c r="F40" s="16">
        <f t="shared" si="5"/>
        <v>15.55</v>
      </c>
      <c r="G40" s="15" t="s">
        <v>89</v>
      </c>
      <c r="H40" s="17">
        <v>843.83</v>
      </c>
      <c r="I40" s="17">
        <f t="shared" si="6"/>
        <v>760.7043067</v>
      </c>
      <c r="J40" s="24">
        <f t="shared" si="9"/>
        <v>713.15625</v>
      </c>
      <c r="K40" s="25">
        <v>0.09851</v>
      </c>
      <c r="L40" s="26">
        <v>0.25</v>
      </c>
      <c r="M40" s="24">
        <f>ROUND(I40,2)+(ROUND(I40,2)*L40)</f>
        <v>950.875</v>
      </c>
      <c r="N40" s="27">
        <f t="shared" si="7"/>
        <v>14786.18</v>
      </c>
      <c r="O40" s="15"/>
      <c r="P40" s="15" t="s">
        <v>64</v>
      </c>
      <c r="Q40" s="15" t="s">
        <v>108</v>
      </c>
      <c r="R40" s="15" t="s">
        <v>32</v>
      </c>
      <c r="S40" s="15" t="s">
        <v>21</v>
      </c>
      <c r="T40" s="16">
        <v>15.55</v>
      </c>
      <c r="U40" s="17">
        <f t="shared" si="8"/>
        <v>14786.184</v>
      </c>
    </row>
    <row r="41" ht="45" customHeight="1" spans="1:21">
      <c r="A41" s="14" t="s">
        <v>26</v>
      </c>
      <c r="B41" s="15" t="s">
        <v>131</v>
      </c>
      <c r="C41" s="15" t="s">
        <v>28</v>
      </c>
      <c r="D41" s="15" t="s">
        <v>106</v>
      </c>
      <c r="E41" s="15" t="s">
        <v>107</v>
      </c>
      <c r="F41" s="16">
        <f t="shared" si="5"/>
        <v>60.44</v>
      </c>
      <c r="G41" s="15" t="s">
        <v>31</v>
      </c>
      <c r="H41" s="17">
        <v>39.75</v>
      </c>
      <c r="I41" s="17">
        <f t="shared" si="6"/>
        <v>35.834625</v>
      </c>
      <c r="J41" s="24">
        <f t="shared" si="9"/>
        <v>11.28</v>
      </c>
      <c r="K41" s="25">
        <v>0.0985</v>
      </c>
      <c r="L41" s="26">
        <v>0.25</v>
      </c>
      <c r="M41" s="24">
        <v>15.04</v>
      </c>
      <c r="N41" s="27">
        <f t="shared" si="7"/>
        <v>909.02</v>
      </c>
      <c r="O41" s="15"/>
      <c r="P41" s="15" t="s">
        <v>64</v>
      </c>
      <c r="Q41" s="15" t="s">
        <v>108</v>
      </c>
      <c r="R41" s="15" t="s">
        <v>32</v>
      </c>
      <c r="S41" s="15" t="s">
        <v>21</v>
      </c>
      <c r="T41" s="16">
        <v>60.44</v>
      </c>
      <c r="U41" s="17">
        <f t="shared" si="8"/>
        <v>909.0176</v>
      </c>
    </row>
    <row r="42" ht="45" customHeight="1" spans="1:21">
      <c r="A42" s="14" t="s">
        <v>26</v>
      </c>
      <c r="B42" s="15" t="s">
        <v>132</v>
      </c>
      <c r="C42" s="15" t="s">
        <v>28</v>
      </c>
      <c r="D42" s="15" t="s">
        <v>133</v>
      </c>
      <c r="E42" s="15" t="s">
        <v>134</v>
      </c>
      <c r="F42" s="16">
        <f t="shared" si="5"/>
        <v>3.89</v>
      </c>
      <c r="G42" s="15" t="s">
        <v>89</v>
      </c>
      <c r="H42" s="17">
        <v>795.4</v>
      </c>
      <c r="I42" s="17">
        <f t="shared" si="6"/>
        <v>717.0531</v>
      </c>
      <c r="J42" s="24">
        <f t="shared" si="9"/>
        <v>672.1875</v>
      </c>
      <c r="K42" s="25">
        <v>0.0985</v>
      </c>
      <c r="L42" s="26">
        <v>0.25</v>
      </c>
      <c r="M42" s="24">
        <v>896.25</v>
      </c>
      <c r="N42" s="27">
        <f t="shared" si="7"/>
        <v>3486.41</v>
      </c>
      <c r="O42" s="15"/>
      <c r="P42" s="15" t="s">
        <v>64</v>
      </c>
      <c r="Q42" s="15" t="s">
        <v>108</v>
      </c>
      <c r="R42" s="15" t="s">
        <v>32</v>
      </c>
      <c r="S42" s="15" t="s">
        <v>21</v>
      </c>
      <c r="T42" s="16">
        <v>3.89</v>
      </c>
      <c r="U42" s="17">
        <f t="shared" si="8"/>
        <v>3486.4125</v>
      </c>
    </row>
    <row r="43" ht="45" customHeight="1" spans="1:21">
      <c r="A43" s="14" t="s">
        <v>26</v>
      </c>
      <c r="B43" s="15" t="s">
        <v>135</v>
      </c>
      <c r="C43" s="15" t="s">
        <v>28</v>
      </c>
      <c r="D43" s="15" t="s">
        <v>110</v>
      </c>
      <c r="E43" s="15" t="s">
        <v>111</v>
      </c>
      <c r="F43" s="16">
        <f t="shared" si="5"/>
        <v>349.55</v>
      </c>
      <c r="G43" s="15" t="s">
        <v>31</v>
      </c>
      <c r="H43" s="17">
        <v>74.98</v>
      </c>
      <c r="I43" s="17">
        <f t="shared" si="6"/>
        <v>67.575725</v>
      </c>
      <c r="J43" s="24">
        <f t="shared" si="9"/>
        <v>63.3525</v>
      </c>
      <c r="K43" s="25">
        <v>0.09875</v>
      </c>
      <c r="L43" s="26">
        <v>0.25</v>
      </c>
      <c r="M43" s="24">
        <v>84.47</v>
      </c>
      <c r="N43" s="27">
        <f t="shared" si="7"/>
        <v>29526.49</v>
      </c>
      <c r="O43" s="15"/>
      <c r="P43" s="15" t="s">
        <v>64</v>
      </c>
      <c r="Q43" s="15" t="s">
        <v>108</v>
      </c>
      <c r="R43" s="15" t="s">
        <v>32</v>
      </c>
      <c r="S43" s="15" t="s">
        <v>21</v>
      </c>
      <c r="T43" s="16">
        <v>349.55</v>
      </c>
      <c r="U43" s="17">
        <f t="shared" si="8"/>
        <v>29526.4885</v>
      </c>
    </row>
    <row r="44" ht="45" customHeight="1" spans="1:21">
      <c r="A44" s="14" t="s">
        <v>26</v>
      </c>
      <c r="B44" s="15" t="s">
        <v>136</v>
      </c>
      <c r="C44" s="15" t="s">
        <v>28</v>
      </c>
      <c r="D44" s="15" t="s">
        <v>117</v>
      </c>
      <c r="E44" s="15" t="s">
        <v>118</v>
      </c>
      <c r="F44" s="16">
        <f t="shared" si="5"/>
        <v>660.1</v>
      </c>
      <c r="G44" s="15" t="s">
        <v>115</v>
      </c>
      <c r="H44" s="17">
        <v>13.15</v>
      </c>
      <c r="I44" s="17">
        <f t="shared" si="6"/>
        <v>11.852095</v>
      </c>
      <c r="J44" s="24">
        <f t="shared" si="9"/>
        <v>11.115</v>
      </c>
      <c r="K44" s="25">
        <v>0.0987</v>
      </c>
      <c r="L44" s="26">
        <v>0.25</v>
      </c>
      <c r="M44" s="24">
        <v>14.82</v>
      </c>
      <c r="N44" s="27">
        <f t="shared" si="7"/>
        <v>9782.68</v>
      </c>
      <c r="O44" s="15"/>
      <c r="P44" s="15" t="s">
        <v>64</v>
      </c>
      <c r="Q44" s="15" t="s">
        <v>108</v>
      </c>
      <c r="R44" s="15" t="s">
        <v>32</v>
      </c>
      <c r="S44" s="15" t="s">
        <v>21</v>
      </c>
      <c r="T44" s="16">
        <v>660.1</v>
      </c>
      <c r="U44" s="17">
        <f t="shared" si="8"/>
        <v>9782.682</v>
      </c>
    </row>
    <row r="45" ht="45" customHeight="1" spans="1:21">
      <c r="A45" s="14" t="s">
        <v>26</v>
      </c>
      <c r="B45" s="15" t="s">
        <v>137</v>
      </c>
      <c r="C45" s="15" t="s">
        <v>28</v>
      </c>
      <c r="D45" s="15" t="s">
        <v>120</v>
      </c>
      <c r="E45" s="15" t="s">
        <v>121</v>
      </c>
      <c r="F45" s="16">
        <f t="shared" si="5"/>
        <v>113.6</v>
      </c>
      <c r="G45" s="15" t="s">
        <v>115</v>
      </c>
      <c r="H45" s="17">
        <v>11.69</v>
      </c>
      <c r="I45" s="17">
        <f t="shared" si="6"/>
        <v>10.53269</v>
      </c>
      <c r="J45" s="24">
        <f t="shared" si="9"/>
        <v>9.8775</v>
      </c>
      <c r="K45" s="25">
        <v>0.099</v>
      </c>
      <c r="L45" s="26">
        <v>0.25</v>
      </c>
      <c r="M45" s="24">
        <v>13.17</v>
      </c>
      <c r="N45" s="27">
        <f t="shared" si="7"/>
        <v>1496.11</v>
      </c>
      <c r="O45" s="15"/>
      <c r="P45" s="15" t="s">
        <v>64</v>
      </c>
      <c r="Q45" s="15" t="s">
        <v>108</v>
      </c>
      <c r="R45" s="15" t="s">
        <v>32</v>
      </c>
      <c r="S45" s="15" t="s">
        <v>21</v>
      </c>
      <c r="T45" s="16">
        <v>113.6</v>
      </c>
      <c r="U45" s="17">
        <f t="shared" si="8"/>
        <v>1496.112</v>
      </c>
    </row>
    <row r="46" ht="45" customHeight="1" spans="1:21">
      <c r="A46" s="14" t="s">
        <v>26</v>
      </c>
      <c r="B46" s="15" t="s">
        <v>138</v>
      </c>
      <c r="C46" s="15" t="s">
        <v>28</v>
      </c>
      <c r="D46" s="15" t="s">
        <v>123</v>
      </c>
      <c r="E46" s="15" t="s">
        <v>124</v>
      </c>
      <c r="F46" s="16">
        <f t="shared" si="5"/>
        <v>26.41</v>
      </c>
      <c r="G46" s="15" t="s">
        <v>115</v>
      </c>
      <c r="H46" s="17">
        <v>9.91</v>
      </c>
      <c r="I46" s="17">
        <f t="shared" si="6"/>
        <v>8.933865</v>
      </c>
      <c r="J46" s="24">
        <f t="shared" si="9"/>
        <v>8.371875</v>
      </c>
      <c r="K46" s="25">
        <v>0.0985</v>
      </c>
      <c r="L46" s="26">
        <v>0.25</v>
      </c>
      <c r="M46" s="24">
        <f>ROUND(I46,2)+(ROUND(I46,2)*L46)</f>
        <v>11.1625</v>
      </c>
      <c r="N46" s="27">
        <f t="shared" si="7"/>
        <v>294.74</v>
      </c>
      <c r="O46" s="15"/>
      <c r="P46" s="15" t="s">
        <v>64</v>
      </c>
      <c r="Q46" s="15" t="s">
        <v>108</v>
      </c>
      <c r="R46" s="15" t="s">
        <v>32</v>
      </c>
      <c r="S46" s="15" t="s">
        <v>21</v>
      </c>
      <c r="T46" s="16">
        <v>26.41</v>
      </c>
      <c r="U46" s="17">
        <f t="shared" si="8"/>
        <v>294.7356</v>
      </c>
    </row>
    <row r="47" ht="45" customHeight="1" spans="1:21">
      <c r="A47" s="14" t="s">
        <v>26</v>
      </c>
      <c r="B47" s="15" t="s">
        <v>139</v>
      </c>
      <c r="C47" s="15" t="s">
        <v>28</v>
      </c>
      <c r="D47" s="15" t="s">
        <v>140</v>
      </c>
      <c r="E47" s="15" t="s">
        <v>141</v>
      </c>
      <c r="F47" s="16">
        <f t="shared" si="5"/>
        <v>356.91</v>
      </c>
      <c r="G47" s="15" t="s">
        <v>115</v>
      </c>
      <c r="H47" s="17">
        <v>18.71</v>
      </c>
      <c r="I47" s="17">
        <f t="shared" si="6"/>
        <v>16.863323</v>
      </c>
      <c r="J47" s="24">
        <f t="shared" si="9"/>
        <v>15.80625</v>
      </c>
      <c r="K47" s="25">
        <v>0.0987</v>
      </c>
      <c r="L47" s="26">
        <v>0.25</v>
      </c>
      <c r="M47" s="24">
        <f>ROUND(I47,2)+(ROUND(I47,2)*L47)</f>
        <v>21.075</v>
      </c>
      <c r="N47" s="27">
        <f t="shared" si="7"/>
        <v>7523.66</v>
      </c>
      <c r="O47" s="15"/>
      <c r="P47" s="15" t="s">
        <v>64</v>
      </c>
      <c r="Q47" s="15" t="s">
        <v>108</v>
      </c>
      <c r="R47" s="15" t="s">
        <v>32</v>
      </c>
      <c r="S47" s="15" t="s">
        <v>21</v>
      </c>
      <c r="T47" s="16">
        <v>356.91</v>
      </c>
      <c r="U47" s="17">
        <f t="shared" si="8"/>
        <v>7523.6628</v>
      </c>
    </row>
    <row r="48" ht="45" customHeight="1" spans="1:21">
      <c r="A48" s="14" t="s">
        <v>26</v>
      </c>
      <c r="B48" s="15" t="s">
        <v>142</v>
      </c>
      <c r="C48" s="15" t="s">
        <v>28</v>
      </c>
      <c r="D48" s="15" t="s">
        <v>143</v>
      </c>
      <c r="E48" s="15" t="s">
        <v>144</v>
      </c>
      <c r="F48" s="16">
        <f t="shared" si="5"/>
        <v>24.18</v>
      </c>
      <c r="G48" s="15" t="s">
        <v>89</v>
      </c>
      <c r="H48" s="17">
        <v>809.99</v>
      </c>
      <c r="I48" s="17">
        <f t="shared" si="6"/>
        <v>730.1978851</v>
      </c>
      <c r="J48" s="24">
        <f t="shared" si="9"/>
        <v>684.5625</v>
      </c>
      <c r="K48" s="25">
        <v>0.09851</v>
      </c>
      <c r="L48" s="26">
        <v>0.25</v>
      </c>
      <c r="M48" s="24">
        <f>ROUND(I48,2)+(ROUND(I48,2)*L48)</f>
        <v>912.75</v>
      </c>
      <c r="N48" s="27">
        <f t="shared" si="7"/>
        <v>22070.3</v>
      </c>
      <c r="O48" s="15"/>
      <c r="P48" s="15" t="s">
        <v>64</v>
      </c>
      <c r="Q48" s="15" t="s">
        <v>108</v>
      </c>
      <c r="R48" s="15" t="s">
        <v>32</v>
      </c>
      <c r="S48" s="15" t="s">
        <v>21</v>
      </c>
      <c r="T48" s="16">
        <v>24.18</v>
      </c>
      <c r="U48" s="17">
        <f t="shared" si="8"/>
        <v>22070.295</v>
      </c>
    </row>
    <row r="49" ht="57.75" customHeight="1" spans="1:21">
      <c r="A49" s="14" t="s">
        <v>26</v>
      </c>
      <c r="B49" s="15" t="s">
        <v>145</v>
      </c>
      <c r="C49" s="15" t="s">
        <v>28</v>
      </c>
      <c r="D49" s="15" t="s">
        <v>146</v>
      </c>
      <c r="E49" s="15" t="s">
        <v>147</v>
      </c>
      <c r="F49" s="16">
        <f t="shared" si="5"/>
        <v>35</v>
      </c>
      <c r="G49" s="15" t="s">
        <v>48</v>
      </c>
      <c r="H49" s="17">
        <v>65.2</v>
      </c>
      <c r="I49" s="17">
        <f t="shared" si="6"/>
        <v>58.77454</v>
      </c>
      <c r="J49" s="24">
        <f t="shared" si="9"/>
        <v>55.1025</v>
      </c>
      <c r="K49" s="25">
        <v>0.09855</v>
      </c>
      <c r="L49" s="26">
        <v>0.25</v>
      </c>
      <c r="M49" s="24">
        <v>73.47</v>
      </c>
      <c r="N49" s="27">
        <f t="shared" si="7"/>
        <v>2571.45</v>
      </c>
      <c r="O49" s="15"/>
      <c r="P49" s="15" t="s">
        <v>64</v>
      </c>
      <c r="Q49" s="15" t="s">
        <v>108</v>
      </c>
      <c r="R49" s="15" t="s">
        <v>32</v>
      </c>
      <c r="S49" s="15" t="s">
        <v>21</v>
      </c>
      <c r="T49" s="16">
        <v>35</v>
      </c>
      <c r="U49" s="17">
        <f t="shared" si="8"/>
        <v>2571.45</v>
      </c>
    </row>
    <row r="50" ht="45" customHeight="1" spans="1:21">
      <c r="A50" s="14" t="s">
        <v>26</v>
      </c>
      <c r="B50" s="15" t="s">
        <v>148</v>
      </c>
      <c r="C50" s="15" t="s">
        <v>28</v>
      </c>
      <c r="D50" s="15" t="s">
        <v>149</v>
      </c>
      <c r="E50" s="15" t="s">
        <v>150</v>
      </c>
      <c r="F50" s="16">
        <f t="shared" si="5"/>
        <v>5</v>
      </c>
      <c r="G50" s="15" t="s">
        <v>40</v>
      </c>
      <c r="H50" s="17">
        <v>16.78</v>
      </c>
      <c r="I50" s="17">
        <f t="shared" si="6"/>
        <v>15.12717</v>
      </c>
      <c r="J50" s="24">
        <f t="shared" si="9"/>
        <v>14.184375</v>
      </c>
      <c r="K50" s="25">
        <v>0.0985</v>
      </c>
      <c r="L50" s="26">
        <v>0.25</v>
      </c>
      <c r="M50" s="24">
        <f>ROUND(I50,2)+(ROUND(I50,2)*L50)</f>
        <v>18.9125</v>
      </c>
      <c r="N50" s="27">
        <f t="shared" si="7"/>
        <v>94.55</v>
      </c>
      <c r="O50" s="15"/>
      <c r="P50" s="15" t="s">
        <v>64</v>
      </c>
      <c r="Q50" s="15" t="s">
        <v>108</v>
      </c>
      <c r="R50" s="15" t="s">
        <v>32</v>
      </c>
      <c r="S50" s="15" t="s">
        <v>21</v>
      </c>
      <c r="T50" s="16">
        <v>5</v>
      </c>
      <c r="U50" s="17">
        <f t="shared" si="8"/>
        <v>94.55</v>
      </c>
    </row>
    <row r="51" ht="45" customHeight="1" spans="1:21">
      <c r="A51" s="14" t="s">
        <v>26</v>
      </c>
      <c r="B51" s="15" t="s">
        <v>151</v>
      </c>
      <c r="C51" s="15" t="s">
        <v>28</v>
      </c>
      <c r="D51" s="15" t="s">
        <v>106</v>
      </c>
      <c r="E51" s="15" t="s">
        <v>107</v>
      </c>
      <c r="F51" s="16">
        <f t="shared" si="5"/>
        <v>4.84</v>
      </c>
      <c r="G51" s="15" t="s">
        <v>31</v>
      </c>
      <c r="H51" s="17">
        <v>39.75</v>
      </c>
      <c r="I51" s="17">
        <f t="shared" si="6"/>
        <v>35.834625</v>
      </c>
      <c r="J51" s="24">
        <f t="shared" si="9"/>
        <v>11.28</v>
      </c>
      <c r="K51" s="25">
        <v>0.0985</v>
      </c>
      <c r="L51" s="26">
        <v>0.25</v>
      </c>
      <c r="M51" s="24">
        <v>15.04</v>
      </c>
      <c r="N51" s="27">
        <f t="shared" si="7"/>
        <v>72.79</v>
      </c>
      <c r="O51" s="15"/>
      <c r="P51" s="15" t="s">
        <v>64</v>
      </c>
      <c r="Q51" s="15" t="s">
        <v>108</v>
      </c>
      <c r="R51" s="15" t="s">
        <v>32</v>
      </c>
      <c r="S51" s="15" t="s">
        <v>21</v>
      </c>
      <c r="T51" s="16">
        <v>4.84</v>
      </c>
      <c r="U51" s="17">
        <f t="shared" si="8"/>
        <v>72.7936</v>
      </c>
    </row>
    <row r="52" ht="45" customHeight="1" spans="1:21">
      <c r="A52" s="14" t="s">
        <v>26</v>
      </c>
      <c r="B52" s="15" t="s">
        <v>152</v>
      </c>
      <c r="C52" s="15" t="s">
        <v>28</v>
      </c>
      <c r="D52" s="15" t="s">
        <v>153</v>
      </c>
      <c r="E52" s="15" t="s">
        <v>154</v>
      </c>
      <c r="F52" s="16">
        <f t="shared" si="5"/>
        <v>4.4</v>
      </c>
      <c r="G52" s="15" t="s">
        <v>31</v>
      </c>
      <c r="H52" s="17">
        <v>122.72</v>
      </c>
      <c r="I52" s="17">
        <f t="shared" si="6"/>
        <v>110.619808</v>
      </c>
      <c r="J52" s="24">
        <f t="shared" si="9"/>
        <v>103.70625</v>
      </c>
      <c r="K52" s="25">
        <v>0.0986</v>
      </c>
      <c r="L52" s="26">
        <v>0.25</v>
      </c>
      <c r="M52" s="24">
        <f>ROUND(I52,2)+(ROUND(I52,2)*L52)</f>
        <v>138.275</v>
      </c>
      <c r="N52" s="27">
        <f t="shared" si="7"/>
        <v>608.43</v>
      </c>
      <c r="O52" s="15"/>
      <c r="P52" s="15" t="s">
        <v>64</v>
      </c>
      <c r="Q52" s="15" t="s">
        <v>108</v>
      </c>
      <c r="R52" s="15" t="s">
        <v>32</v>
      </c>
      <c r="S52" s="15" t="s">
        <v>21</v>
      </c>
      <c r="T52" s="16">
        <v>4.4</v>
      </c>
      <c r="U52" s="17">
        <f t="shared" si="8"/>
        <v>608.432</v>
      </c>
    </row>
    <row r="53" ht="45" customHeight="1" spans="1:21">
      <c r="A53" s="14" t="s">
        <v>26</v>
      </c>
      <c r="B53" s="15" t="s">
        <v>155</v>
      </c>
      <c r="C53" s="15" t="s">
        <v>28</v>
      </c>
      <c r="D53" s="15" t="s">
        <v>156</v>
      </c>
      <c r="E53" s="15" t="s">
        <v>157</v>
      </c>
      <c r="F53" s="16">
        <f t="shared" si="5"/>
        <v>116.61</v>
      </c>
      <c r="G53" s="15" t="s">
        <v>115</v>
      </c>
      <c r="H53" s="17">
        <v>12.93</v>
      </c>
      <c r="I53" s="17">
        <f t="shared" si="6"/>
        <v>11.653809</v>
      </c>
      <c r="J53" s="24">
        <f t="shared" si="9"/>
        <v>10.921875</v>
      </c>
      <c r="K53" s="25">
        <v>0.0987</v>
      </c>
      <c r="L53" s="26">
        <v>0.25</v>
      </c>
      <c r="M53" s="24">
        <f>ROUND(I53,2)+(ROUND(I53,2)*L53)</f>
        <v>14.5625</v>
      </c>
      <c r="N53" s="27">
        <f t="shared" si="7"/>
        <v>1697.84</v>
      </c>
      <c r="O53" s="15"/>
      <c r="P53" s="15" t="s">
        <v>64</v>
      </c>
      <c r="Q53" s="15" t="s">
        <v>108</v>
      </c>
      <c r="R53" s="15" t="s">
        <v>32</v>
      </c>
      <c r="S53" s="15" t="s">
        <v>21</v>
      </c>
      <c r="T53" s="16">
        <v>116.61</v>
      </c>
      <c r="U53" s="17">
        <f t="shared" si="8"/>
        <v>1697.8416</v>
      </c>
    </row>
    <row r="54" ht="45" customHeight="1" spans="1:21">
      <c r="A54" s="14" t="s">
        <v>26</v>
      </c>
      <c r="B54" s="15" t="s">
        <v>158</v>
      </c>
      <c r="C54" s="15" t="s">
        <v>28</v>
      </c>
      <c r="D54" s="15" t="s">
        <v>123</v>
      </c>
      <c r="E54" s="15" t="s">
        <v>124</v>
      </c>
      <c r="F54" s="16">
        <f t="shared" si="5"/>
        <v>83.78</v>
      </c>
      <c r="G54" s="15" t="s">
        <v>115</v>
      </c>
      <c r="H54" s="17">
        <v>9.91</v>
      </c>
      <c r="I54" s="17">
        <f t="shared" si="6"/>
        <v>8.933865</v>
      </c>
      <c r="J54" s="24">
        <f t="shared" si="9"/>
        <v>8.371875</v>
      </c>
      <c r="K54" s="25">
        <v>0.0985</v>
      </c>
      <c r="L54" s="26">
        <v>0.25</v>
      </c>
      <c r="M54" s="24">
        <f>ROUND(I54,2)+(ROUND(I54,2)*L54)</f>
        <v>11.1625</v>
      </c>
      <c r="N54" s="27">
        <f t="shared" si="7"/>
        <v>934.98</v>
      </c>
      <c r="O54" s="15"/>
      <c r="P54" s="15" t="s">
        <v>64</v>
      </c>
      <c r="Q54" s="15" t="s">
        <v>108</v>
      </c>
      <c r="R54" s="15" t="s">
        <v>32</v>
      </c>
      <c r="S54" s="15" t="s">
        <v>21</v>
      </c>
      <c r="T54" s="16">
        <v>83.78</v>
      </c>
      <c r="U54" s="17">
        <f t="shared" si="8"/>
        <v>934.9848</v>
      </c>
    </row>
    <row r="55" ht="45" customHeight="1" spans="1:21">
      <c r="A55" s="14" t="s">
        <v>26</v>
      </c>
      <c r="B55" s="15" t="s">
        <v>159</v>
      </c>
      <c r="C55" s="15" t="s">
        <v>28</v>
      </c>
      <c r="D55" s="15" t="s">
        <v>160</v>
      </c>
      <c r="E55" s="15" t="s">
        <v>161</v>
      </c>
      <c r="F55" s="16">
        <f t="shared" si="5"/>
        <v>13.87</v>
      </c>
      <c r="G55" s="15" t="s">
        <v>115</v>
      </c>
      <c r="H55" s="17">
        <v>9.16</v>
      </c>
      <c r="I55" s="17">
        <f t="shared" si="6"/>
        <v>8.2550836</v>
      </c>
      <c r="J55" s="24">
        <f t="shared" si="9"/>
        <v>7.74</v>
      </c>
      <c r="K55" s="25">
        <v>0.09879</v>
      </c>
      <c r="L55" s="26">
        <v>0.25</v>
      </c>
      <c r="M55" s="24">
        <v>10.32</v>
      </c>
      <c r="N55" s="27">
        <f t="shared" si="7"/>
        <v>143.14</v>
      </c>
      <c r="O55" s="15"/>
      <c r="P55" s="15" t="s">
        <v>64</v>
      </c>
      <c r="Q55" s="15" t="s">
        <v>108</v>
      </c>
      <c r="R55" s="15" t="s">
        <v>32</v>
      </c>
      <c r="S55" s="15" t="s">
        <v>21</v>
      </c>
      <c r="T55" s="16">
        <v>13.87</v>
      </c>
      <c r="U55" s="17">
        <f t="shared" si="8"/>
        <v>143.1384</v>
      </c>
    </row>
    <row r="56" ht="45" customHeight="1" spans="1:21">
      <c r="A56" s="14" t="s">
        <v>26</v>
      </c>
      <c r="B56" s="15" t="s">
        <v>162</v>
      </c>
      <c r="C56" s="15" t="s">
        <v>28</v>
      </c>
      <c r="D56" s="15" t="s">
        <v>140</v>
      </c>
      <c r="E56" s="15" t="s">
        <v>141</v>
      </c>
      <c r="F56" s="16">
        <f t="shared" si="5"/>
        <v>13.08</v>
      </c>
      <c r="G56" s="15" t="s">
        <v>115</v>
      </c>
      <c r="H56" s="17">
        <v>18.71</v>
      </c>
      <c r="I56" s="17">
        <f t="shared" si="6"/>
        <v>16.863323</v>
      </c>
      <c r="J56" s="24">
        <f t="shared" si="9"/>
        <v>15.80625</v>
      </c>
      <c r="K56" s="25">
        <v>0.0987</v>
      </c>
      <c r="L56" s="26">
        <v>0.25</v>
      </c>
      <c r="M56" s="24">
        <f>ROUND(I56,2)+(ROUND(I56,2)*L56)</f>
        <v>21.075</v>
      </c>
      <c r="N56" s="27">
        <f t="shared" si="7"/>
        <v>275.73</v>
      </c>
      <c r="O56" s="15"/>
      <c r="P56" s="15" t="s">
        <v>64</v>
      </c>
      <c r="Q56" s="15" t="s">
        <v>108</v>
      </c>
      <c r="R56" s="15" t="s">
        <v>32</v>
      </c>
      <c r="S56" s="15" t="s">
        <v>21</v>
      </c>
      <c r="T56" s="16">
        <v>13.08</v>
      </c>
      <c r="U56" s="17">
        <f t="shared" si="8"/>
        <v>275.7264</v>
      </c>
    </row>
    <row r="57" ht="45" customHeight="1" spans="1:21">
      <c r="A57" s="14" t="s">
        <v>26</v>
      </c>
      <c r="B57" s="15" t="s">
        <v>163</v>
      </c>
      <c r="C57" s="15" t="s">
        <v>28</v>
      </c>
      <c r="D57" s="15" t="s">
        <v>143</v>
      </c>
      <c r="E57" s="15" t="s">
        <v>144</v>
      </c>
      <c r="F57" s="16">
        <f t="shared" si="5"/>
        <v>2.42</v>
      </c>
      <c r="G57" s="15" t="s">
        <v>89</v>
      </c>
      <c r="H57" s="17">
        <v>809.99</v>
      </c>
      <c r="I57" s="17">
        <f t="shared" si="6"/>
        <v>730.1978851</v>
      </c>
      <c r="J57" s="24">
        <f t="shared" si="9"/>
        <v>684.5625</v>
      </c>
      <c r="K57" s="25">
        <v>0.09851</v>
      </c>
      <c r="L57" s="26">
        <v>0.25</v>
      </c>
      <c r="M57" s="24">
        <f>ROUND(I57,2)+(ROUND(I57,2)*L57)</f>
        <v>912.75</v>
      </c>
      <c r="N57" s="27">
        <f t="shared" si="7"/>
        <v>2208.86</v>
      </c>
      <c r="O57" s="15"/>
      <c r="P57" s="15" t="s">
        <v>64</v>
      </c>
      <c r="Q57" s="15" t="s">
        <v>108</v>
      </c>
      <c r="R57" s="15" t="s">
        <v>32</v>
      </c>
      <c r="S57" s="15" t="s">
        <v>21</v>
      </c>
      <c r="T57" s="16">
        <v>2.42</v>
      </c>
      <c r="U57" s="17">
        <f t="shared" si="8"/>
        <v>2208.855</v>
      </c>
    </row>
    <row r="58" ht="56.25" customHeight="1" spans="1:21">
      <c r="A58" s="14" t="s">
        <v>26</v>
      </c>
      <c r="B58" s="15" t="s">
        <v>164</v>
      </c>
      <c r="C58" s="15" t="s">
        <v>28</v>
      </c>
      <c r="D58" s="15" t="s">
        <v>146</v>
      </c>
      <c r="E58" s="15" t="s">
        <v>147</v>
      </c>
      <c r="F58" s="16">
        <f t="shared" si="5"/>
        <v>17.5</v>
      </c>
      <c r="G58" s="15" t="s">
        <v>48</v>
      </c>
      <c r="H58" s="17">
        <v>65.2</v>
      </c>
      <c r="I58" s="17">
        <f t="shared" si="6"/>
        <v>58.7778</v>
      </c>
      <c r="J58" s="24">
        <f t="shared" si="9"/>
        <v>55.1025</v>
      </c>
      <c r="K58" s="25">
        <v>0.0985</v>
      </c>
      <c r="L58" s="26">
        <v>0.25</v>
      </c>
      <c r="M58" s="24">
        <v>73.47</v>
      </c>
      <c r="N58" s="27">
        <f t="shared" si="7"/>
        <v>1285.73</v>
      </c>
      <c r="O58" s="15"/>
      <c r="P58" s="15" t="s">
        <v>64</v>
      </c>
      <c r="Q58" s="15" t="s">
        <v>108</v>
      </c>
      <c r="R58" s="15" t="s">
        <v>32</v>
      </c>
      <c r="S58" s="15" t="s">
        <v>21</v>
      </c>
      <c r="T58" s="16">
        <v>17.5</v>
      </c>
      <c r="U58" s="17">
        <f t="shared" si="8"/>
        <v>1285.725</v>
      </c>
    </row>
    <row r="59" ht="45" customHeight="1" spans="1:21">
      <c r="A59" s="14" t="s">
        <v>26</v>
      </c>
      <c r="B59" s="15" t="s">
        <v>165</v>
      </c>
      <c r="C59" s="15" t="s">
        <v>28</v>
      </c>
      <c r="D59" s="15" t="s">
        <v>106</v>
      </c>
      <c r="E59" s="15" t="s">
        <v>107</v>
      </c>
      <c r="F59" s="16">
        <f t="shared" si="5"/>
        <v>1.25</v>
      </c>
      <c r="G59" s="15" t="s">
        <v>31</v>
      </c>
      <c r="H59" s="17">
        <v>39.75</v>
      </c>
      <c r="I59" s="17">
        <f t="shared" si="6"/>
        <v>35.834625</v>
      </c>
      <c r="J59" s="24">
        <f t="shared" si="9"/>
        <v>11.28</v>
      </c>
      <c r="K59" s="25">
        <v>0.0985</v>
      </c>
      <c r="L59" s="26">
        <v>0.25</v>
      </c>
      <c r="M59" s="24">
        <v>15.04</v>
      </c>
      <c r="N59" s="27">
        <f t="shared" si="7"/>
        <v>18.8</v>
      </c>
      <c r="O59" s="15"/>
      <c r="P59" s="15" t="s">
        <v>64</v>
      </c>
      <c r="Q59" s="15" t="s">
        <v>108</v>
      </c>
      <c r="R59" s="15" t="s">
        <v>32</v>
      </c>
      <c r="S59" s="15" t="s">
        <v>21</v>
      </c>
      <c r="T59" s="16">
        <v>1.25</v>
      </c>
      <c r="U59" s="17">
        <f t="shared" si="8"/>
        <v>18.8</v>
      </c>
    </row>
    <row r="60" ht="45" customHeight="1" spans="1:21">
      <c r="A60" s="14" t="s">
        <v>26</v>
      </c>
      <c r="B60" s="15" t="s">
        <v>166</v>
      </c>
      <c r="C60" s="15" t="s">
        <v>28</v>
      </c>
      <c r="D60" s="15" t="s">
        <v>153</v>
      </c>
      <c r="E60" s="15" t="s">
        <v>154</v>
      </c>
      <c r="F60" s="16">
        <f t="shared" si="5"/>
        <v>5</v>
      </c>
      <c r="G60" s="15" t="s">
        <v>31</v>
      </c>
      <c r="H60" s="17">
        <v>122.72</v>
      </c>
      <c r="I60" s="17">
        <f t="shared" si="6"/>
        <v>110.619808</v>
      </c>
      <c r="J60" s="24">
        <f t="shared" si="9"/>
        <v>103.70625</v>
      </c>
      <c r="K60" s="25">
        <v>0.0986</v>
      </c>
      <c r="L60" s="26">
        <v>0.25</v>
      </c>
      <c r="M60" s="24">
        <f>ROUND(I60,2)+(ROUND(I60,2)*L60)</f>
        <v>138.275</v>
      </c>
      <c r="N60" s="27">
        <f t="shared" si="7"/>
        <v>691.4</v>
      </c>
      <c r="O60" s="15"/>
      <c r="P60" s="15" t="s">
        <v>64</v>
      </c>
      <c r="Q60" s="15" t="s">
        <v>108</v>
      </c>
      <c r="R60" s="15" t="s">
        <v>32</v>
      </c>
      <c r="S60" s="15" t="s">
        <v>21</v>
      </c>
      <c r="T60" s="16">
        <v>5</v>
      </c>
      <c r="U60" s="17">
        <f t="shared" si="8"/>
        <v>691.4</v>
      </c>
    </row>
    <row r="61" ht="45" customHeight="1" spans="1:21">
      <c r="A61" s="14" t="s">
        <v>26</v>
      </c>
      <c r="B61" s="15" t="s">
        <v>167</v>
      </c>
      <c r="C61" s="15" t="s">
        <v>28</v>
      </c>
      <c r="D61" s="15" t="s">
        <v>168</v>
      </c>
      <c r="E61" s="15" t="s">
        <v>169</v>
      </c>
      <c r="F61" s="16">
        <f t="shared" si="5"/>
        <v>10.19</v>
      </c>
      <c r="G61" s="15" t="s">
        <v>115</v>
      </c>
      <c r="H61" s="17">
        <v>15.09</v>
      </c>
      <c r="I61" s="17">
        <f t="shared" si="6"/>
        <v>13.603635</v>
      </c>
      <c r="J61" s="24">
        <f t="shared" si="9"/>
        <v>12.75</v>
      </c>
      <c r="K61" s="25">
        <v>0.0985</v>
      </c>
      <c r="L61" s="26">
        <v>0.25</v>
      </c>
      <c r="M61" s="24">
        <f>ROUND(I61,2)+(ROUND(I61,2)*L61)</f>
        <v>17</v>
      </c>
      <c r="N61" s="27">
        <f t="shared" si="7"/>
        <v>173.23</v>
      </c>
      <c r="O61" s="15"/>
      <c r="P61" s="15" t="s">
        <v>64</v>
      </c>
      <c r="Q61" s="15" t="s">
        <v>108</v>
      </c>
      <c r="R61" s="15" t="s">
        <v>32</v>
      </c>
      <c r="S61" s="15" t="s">
        <v>21</v>
      </c>
      <c r="T61" s="16">
        <v>10.19</v>
      </c>
      <c r="U61" s="17">
        <f t="shared" si="8"/>
        <v>173.23</v>
      </c>
    </row>
    <row r="62" ht="45" customHeight="1" spans="1:21">
      <c r="A62" s="14" t="s">
        <v>26</v>
      </c>
      <c r="B62" s="15" t="s">
        <v>170</v>
      </c>
      <c r="C62" s="15" t="s">
        <v>28</v>
      </c>
      <c r="D62" s="15" t="s">
        <v>143</v>
      </c>
      <c r="E62" s="15" t="s">
        <v>144</v>
      </c>
      <c r="F62" s="16">
        <f t="shared" si="5"/>
        <v>0.63</v>
      </c>
      <c r="G62" s="15" t="s">
        <v>89</v>
      </c>
      <c r="H62" s="17">
        <v>809.99</v>
      </c>
      <c r="I62" s="17">
        <f t="shared" si="6"/>
        <v>730.1978851</v>
      </c>
      <c r="J62" s="24">
        <f t="shared" si="9"/>
        <v>684.5625</v>
      </c>
      <c r="K62" s="25">
        <v>0.09851</v>
      </c>
      <c r="L62" s="26">
        <v>0.25</v>
      </c>
      <c r="M62" s="24">
        <f>ROUND(I62,2)+(ROUND(I62,2)*L62)</f>
        <v>912.75</v>
      </c>
      <c r="N62" s="27">
        <f t="shared" si="7"/>
        <v>575.03</v>
      </c>
      <c r="O62" s="15"/>
      <c r="P62" s="15" t="s">
        <v>64</v>
      </c>
      <c r="Q62" s="15" t="s">
        <v>108</v>
      </c>
      <c r="R62" s="15" t="s">
        <v>32</v>
      </c>
      <c r="S62" s="15" t="s">
        <v>21</v>
      </c>
      <c r="T62" s="16">
        <v>0.63</v>
      </c>
      <c r="U62" s="17">
        <f t="shared" si="8"/>
        <v>575.0325</v>
      </c>
    </row>
    <row r="63" ht="45" customHeight="1" spans="1:21">
      <c r="A63" s="14" t="s">
        <v>26</v>
      </c>
      <c r="B63" s="15" t="s">
        <v>171</v>
      </c>
      <c r="C63" s="15" t="s">
        <v>28</v>
      </c>
      <c r="D63" s="15" t="s">
        <v>106</v>
      </c>
      <c r="E63" s="15" t="s">
        <v>107</v>
      </c>
      <c r="F63" s="16">
        <f t="shared" si="5"/>
        <v>13.25</v>
      </c>
      <c r="G63" s="15" t="s">
        <v>31</v>
      </c>
      <c r="H63" s="17">
        <v>39.75</v>
      </c>
      <c r="I63" s="17">
        <f t="shared" si="6"/>
        <v>35.834625</v>
      </c>
      <c r="J63" s="24">
        <f t="shared" si="9"/>
        <v>11.28</v>
      </c>
      <c r="K63" s="25">
        <v>0.0985</v>
      </c>
      <c r="L63" s="26">
        <v>0.25</v>
      </c>
      <c r="M63" s="24">
        <v>15.04</v>
      </c>
      <c r="N63" s="27">
        <f t="shared" si="7"/>
        <v>199.28</v>
      </c>
      <c r="O63" s="15"/>
      <c r="P63" s="15" t="s">
        <v>64</v>
      </c>
      <c r="Q63" s="15" t="s">
        <v>108</v>
      </c>
      <c r="R63" s="15" t="s">
        <v>32</v>
      </c>
      <c r="S63" s="15" t="s">
        <v>21</v>
      </c>
      <c r="T63" s="16">
        <v>13.25</v>
      </c>
      <c r="U63" s="17">
        <f t="shared" si="8"/>
        <v>199.28</v>
      </c>
    </row>
    <row r="64" ht="45" customHeight="1" spans="1:21">
      <c r="A64" s="14" t="s">
        <v>26</v>
      </c>
      <c r="B64" s="15" t="s">
        <v>172</v>
      </c>
      <c r="C64" s="15" t="s">
        <v>28</v>
      </c>
      <c r="D64" s="15" t="s">
        <v>173</v>
      </c>
      <c r="E64" s="15" t="s">
        <v>174</v>
      </c>
      <c r="F64" s="16">
        <f t="shared" si="5"/>
        <v>44.97</v>
      </c>
      <c r="G64" s="15" t="s">
        <v>31</v>
      </c>
      <c r="H64" s="17">
        <v>90.68</v>
      </c>
      <c r="I64" s="17">
        <f t="shared" si="6"/>
        <v>81.738952</v>
      </c>
      <c r="J64" s="24">
        <f t="shared" si="9"/>
        <v>76.63125</v>
      </c>
      <c r="K64" s="25">
        <v>0.0986</v>
      </c>
      <c r="L64" s="26">
        <v>0.25</v>
      </c>
      <c r="M64" s="24">
        <f>ROUND(I64,2)+(ROUND(I64,2)*L64)</f>
        <v>102.175</v>
      </c>
      <c r="N64" s="27">
        <f t="shared" si="7"/>
        <v>4595.03</v>
      </c>
      <c r="O64" s="15"/>
      <c r="P64" s="15" t="s">
        <v>64</v>
      </c>
      <c r="Q64" s="15" t="s">
        <v>108</v>
      </c>
      <c r="R64" s="15" t="s">
        <v>32</v>
      </c>
      <c r="S64" s="15" t="s">
        <v>21</v>
      </c>
      <c r="T64" s="16">
        <v>44.97</v>
      </c>
      <c r="U64" s="17">
        <f t="shared" si="8"/>
        <v>4595.0346</v>
      </c>
    </row>
    <row r="65" ht="45" customHeight="1" spans="1:21">
      <c r="A65" s="14" t="s">
        <v>26</v>
      </c>
      <c r="B65" s="15" t="s">
        <v>175</v>
      </c>
      <c r="C65" s="15" t="s">
        <v>28</v>
      </c>
      <c r="D65" s="15" t="s">
        <v>117</v>
      </c>
      <c r="E65" s="15" t="s">
        <v>118</v>
      </c>
      <c r="F65" s="16">
        <f t="shared" si="5"/>
        <v>84.2</v>
      </c>
      <c r="G65" s="15" t="s">
        <v>115</v>
      </c>
      <c r="H65" s="17">
        <v>13.15</v>
      </c>
      <c r="I65" s="17">
        <f t="shared" si="6"/>
        <v>11.854725</v>
      </c>
      <c r="J65" s="24">
        <f t="shared" si="9"/>
        <v>11.115</v>
      </c>
      <c r="K65" s="25">
        <v>0.0985</v>
      </c>
      <c r="L65" s="26">
        <v>0.25</v>
      </c>
      <c r="M65" s="24">
        <v>14.82</v>
      </c>
      <c r="N65" s="27">
        <f t="shared" si="7"/>
        <v>1247.84</v>
      </c>
      <c r="O65" s="15"/>
      <c r="P65" s="15" t="s">
        <v>64</v>
      </c>
      <c r="Q65" s="15" t="s">
        <v>108</v>
      </c>
      <c r="R65" s="15" t="s">
        <v>32</v>
      </c>
      <c r="S65" s="15" t="s">
        <v>21</v>
      </c>
      <c r="T65" s="16">
        <v>84.2</v>
      </c>
      <c r="U65" s="17">
        <f t="shared" si="8"/>
        <v>1247.844</v>
      </c>
    </row>
    <row r="66" ht="45" customHeight="1" spans="1:21">
      <c r="A66" s="14" t="s">
        <v>26</v>
      </c>
      <c r="B66" s="15" t="s">
        <v>176</v>
      </c>
      <c r="C66" s="15" t="s">
        <v>28</v>
      </c>
      <c r="D66" s="15" t="s">
        <v>143</v>
      </c>
      <c r="E66" s="15" t="s">
        <v>144</v>
      </c>
      <c r="F66" s="16">
        <f t="shared" si="5"/>
        <v>3.64</v>
      </c>
      <c r="G66" s="15" t="s">
        <v>89</v>
      </c>
      <c r="H66" s="17">
        <v>809.99</v>
      </c>
      <c r="I66" s="17">
        <f t="shared" si="6"/>
        <v>730.1978851</v>
      </c>
      <c r="J66" s="24">
        <f t="shared" si="9"/>
        <v>684.5625</v>
      </c>
      <c r="K66" s="25">
        <v>0.09851</v>
      </c>
      <c r="L66" s="26">
        <v>0.25</v>
      </c>
      <c r="M66" s="24">
        <f>ROUND(I66,2)+(ROUND(I66,2)*L66)</f>
        <v>912.75</v>
      </c>
      <c r="N66" s="27">
        <f t="shared" si="7"/>
        <v>3322.41</v>
      </c>
      <c r="O66" s="15"/>
      <c r="P66" s="15" t="s">
        <v>64</v>
      </c>
      <c r="Q66" s="15" t="s">
        <v>108</v>
      </c>
      <c r="R66" s="15" t="s">
        <v>32</v>
      </c>
      <c r="S66" s="15" t="s">
        <v>21</v>
      </c>
      <c r="T66" s="16">
        <v>3.64</v>
      </c>
      <c r="U66" s="17">
        <f t="shared" si="8"/>
        <v>3322.41</v>
      </c>
    </row>
    <row r="67" ht="63.75" customHeight="1" spans="1:21">
      <c r="A67" s="14" t="s">
        <v>26</v>
      </c>
      <c r="B67" s="15" t="s">
        <v>177</v>
      </c>
      <c r="C67" s="15" t="s">
        <v>28</v>
      </c>
      <c r="D67" s="15" t="s">
        <v>178</v>
      </c>
      <c r="E67" s="15" t="s">
        <v>179</v>
      </c>
      <c r="F67" s="16">
        <f t="shared" si="5"/>
        <v>333.34</v>
      </c>
      <c r="G67" s="15" t="s">
        <v>31</v>
      </c>
      <c r="H67" s="17">
        <v>45.87</v>
      </c>
      <c r="I67" s="17">
        <f t="shared" si="6"/>
        <v>41.351805</v>
      </c>
      <c r="J67" s="24">
        <f t="shared" si="9"/>
        <v>38.765625</v>
      </c>
      <c r="K67" s="25">
        <v>0.0985</v>
      </c>
      <c r="L67" s="26">
        <v>0.25</v>
      </c>
      <c r="M67" s="24">
        <f>ROUND(I67,2)+(ROUND(I67,2)*L67)</f>
        <v>51.6875</v>
      </c>
      <c r="N67" s="27">
        <f t="shared" si="7"/>
        <v>17230.34</v>
      </c>
      <c r="O67" s="15"/>
      <c r="P67" s="15" t="s">
        <v>66</v>
      </c>
      <c r="Q67" s="15" t="s">
        <v>180</v>
      </c>
      <c r="R67" s="15" t="s">
        <v>32</v>
      </c>
      <c r="S67" s="15" t="s">
        <v>21</v>
      </c>
      <c r="T67" s="16">
        <v>333.34</v>
      </c>
      <c r="U67" s="17">
        <f t="shared" si="8"/>
        <v>17230.3446</v>
      </c>
    </row>
    <row r="68" ht="45" customHeight="1" spans="1:21">
      <c r="A68" s="14" t="s">
        <v>26</v>
      </c>
      <c r="B68" s="15" t="s">
        <v>181</v>
      </c>
      <c r="C68" s="15" t="s">
        <v>28</v>
      </c>
      <c r="D68" s="15" t="s">
        <v>182</v>
      </c>
      <c r="E68" s="15" t="s">
        <v>183</v>
      </c>
      <c r="F68" s="16">
        <f t="shared" si="5"/>
        <v>839.33</v>
      </c>
      <c r="G68" s="15" t="s">
        <v>115</v>
      </c>
      <c r="H68" s="17">
        <v>10.06</v>
      </c>
      <c r="I68" s="17">
        <f t="shared" si="6"/>
        <v>9.06909</v>
      </c>
      <c r="J68" s="24">
        <f t="shared" si="9"/>
        <v>8.503125</v>
      </c>
      <c r="K68" s="25">
        <v>0.0985</v>
      </c>
      <c r="L68" s="26">
        <v>0.25</v>
      </c>
      <c r="M68" s="24">
        <f>ROUND(I68,2)+(ROUND(I68,2)*L68)</f>
        <v>11.3375</v>
      </c>
      <c r="N68" s="27">
        <f t="shared" si="7"/>
        <v>9518</v>
      </c>
      <c r="O68" s="15"/>
      <c r="P68" s="15" t="s">
        <v>66</v>
      </c>
      <c r="Q68" s="15" t="s">
        <v>180</v>
      </c>
      <c r="R68" s="15" t="s">
        <v>32</v>
      </c>
      <c r="S68" s="15" t="s">
        <v>21</v>
      </c>
      <c r="T68" s="16">
        <v>839.33</v>
      </c>
      <c r="U68" s="17">
        <f t="shared" si="8"/>
        <v>9518.0022</v>
      </c>
    </row>
    <row r="69" ht="45" customHeight="1" spans="1:21">
      <c r="A69" s="14" t="s">
        <v>26</v>
      </c>
      <c r="B69" s="15" t="s">
        <v>184</v>
      </c>
      <c r="C69" s="15" t="s">
        <v>28</v>
      </c>
      <c r="D69" s="15" t="s">
        <v>185</v>
      </c>
      <c r="E69" s="15" t="s">
        <v>186</v>
      </c>
      <c r="F69" s="16">
        <f t="shared" si="5"/>
        <v>312.88</v>
      </c>
      <c r="G69" s="15" t="s">
        <v>115</v>
      </c>
      <c r="H69" s="17">
        <v>8.44</v>
      </c>
      <c r="I69" s="17">
        <f t="shared" si="6"/>
        <v>7.60866</v>
      </c>
      <c r="J69" s="24">
        <f t="shared" si="9"/>
        <v>7.134375</v>
      </c>
      <c r="K69" s="25">
        <v>0.0985</v>
      </c>
      <c r="L69" s="26">
        <v>0.25</v>
      </c>
      <c r="M69" s="24">
        <f>ROUND(I69,2)+(ROUND(I69,2)*L69)</f>
        <v>9.5125</v>
      </c>
      <c r="N69" s="27">
        <f t="shared" si="7"/>
        <v>2975.49</v>
      </c>
      <c r="O69" s="15"/>
      <c r="P69" s="15" t="s">
        <v>66</v>
      </c>
      <c r="Q69" s="15" t="s">
        <v>180</v>
      </c>
      <c r="R69" s="15" t="s">
        <v>32</v>
      </c>
      <c r="S69" s="15" t="s">
        <v>21</v>
      </c>
      <c r="T69" s="16">
        <v>312.88</v>
      </c>
      <c r="U69" s="17">
        <f t="shared" si="8"/>
        <v>2975.4888</v>
      </c>
    </row>
    <row r="70" ht="45" customHeight="1" spans="1:21">
      <c r="A70" s="14" t="s">
        <v>26</v>
      </c>
      <c r="B70" s="15" t="s">
        <v>187</v>
      </c>
      <c r="C70" s="15" t="s">
        <v>28</v>
      </c>
      <c r="D70" s="15" t="s">
        <v>188</v>
      </c>
      <c r="E70" s="15" t="s">
        <v>189</v>
      </c>
      <c r="F70" s="16">
        <f t="shared" si="5"/>
        <v>450.22</v>
      </c>
      <c r="G70" s="15" t="s">
        <v>115</v>
      </c>
      <c r="H70" s="17">
        <v>13.06</v>
      </c>
      <c r="I70" s="17">
        <f t="shared" si="6"/>
        <v>11.78012</v>
      </c>
      <c r="J70" s="24">
        <f t="shared" si="9"/>
        <v>11.04</v>
      </c>
      <c r="K70" s="25">
        <v>0.098</v>
      </c>
      <c r="L70" s="26">
        <v>0.25</v>
      </c>
      <c r="M70" s="24">
        <v>14.72</v>
      </c>
      <c r="N70" s="27">
        <f t="shared" si="7"/>
        <v>6627.24</v>
      </c>
      <c r="O70" s="15"/>
      <c r="P70" s="15" t="s">
        <v>66</v>
      </c>
      <c r="Q70" s="15" t="s">
        <v>180</v>
      </c>
      <c r="R70" s="15" t="s">
        <v>32</v>
      </c>
      <c r="S70" s="15" t="s">
        <v>21</v>
      </c>
      <c r="T70" s="16">
        <v>450.22</v>
      </c>
      <c r="U70" s="17">
        <f t="shared" si="8"/>
        <v>6627.2384</v>
      </c>
    </row>
    <row r="71" ht="45" customHeight="1" spans="1:21">
      <c r="A71" s="14" t="s">
        <v>26</v>
      </c>
      <c r="B71" s="15" t="s">
        <v>190</v>
      </c>
      <c r="C71" s="15" t="s">
        <v>28</v>
      </c>
      <c r="D71" s="15" t="s">
        <v>191</v>
      </c>
      <c r="E71" s="15" t="s">
        <v>192</v>
      </c>
      <c r="F71" s="16">
        <f t="shared" si="5"/>
        <v>18.25</v>
      </c>
      <c r="G71" s="15" t="s">
        <v>89</v>
      </c>
      <c r="H71" s="17">
        <v>727.05</v>
      </c>
      <c r="I71" s="17">
        <f t="shared" si="6"/>
        <v>655.421034</v>
      </c>
      <c r="J71" s="24">
        <f t="shared" si="9"/>
        <v>614.45625</v>
      </c>
      <c r="K71" s="25">
        <v>0.09852</v>
      </c>
      <c r="L71" s="26">
        <v>0.25</v>
      </c>
      <c r="M71" s="24">
        <f>ROUND(I71,2)+(ROUND(I71,2)*L71)</f>
        <v>819.275</v>
      </c>
      <c r="N71" s="27">
        <f t="shared" si="7"/>
        <v>14951.86</v>
      </c>
      <c r="O71" s="15"/>
      <c r="P71" s="15" t="s">
        <v>66</v>
      </c>
      <c r="Q71" s="15" t="s">
        <v>180</v>
      </c>
      <c r="R71" s="15" t="s">
        <v>32</v>
      </c>
      <c r="S71" s="15" t="s">
        <v>21</v>
      </c>
      <c r="T71" s="16">
        <v>18.25</v>
      </c>
      <c r="U71" s="17">
        <f t="shared" si="8"/>
        <v>14951.86</v>
      </c>
    </row>
    <row r="72" ht="58.5" customHeight="1" spans="1:21">
      <c r="A72" s="14" t="s">
        <v>26</v>
      </c>
      <c r="B72" s="15" t="s">
        <v>193</v>
      </c>
      <c r="C72" s="15" t="s">
        <v>28</v>
      </c>
      <c r="D72" s="15" t="s">
        <v>178</v>
      </c>
      <c r="E72" s="15" t="s">
        <v>179</v>
      </c>
      <c r="F72" s="16">
        <f t="shared" si="5"/>
        <v>344.1</v>
      </c>
      <c r="G72" s="15" t="s">
        <v>31</v>
      </c>
      <c r="H72" s="17">
        <v>45.87</v>
      </c>
      <c r="I72" s="17">
        <f t="shared" si="6"/>
        <v>41.351805</v>
      </c>
      <c r="J72" s="24">
        <f t="shared" si="9"/>
        <v>38.765625</v>
      </c>
      <c r="K72" s="25">
        <v>0.0985</v>
      </c>
      <c r="L72" s="26">
        <v>0.25</v>
      </c>
      <c r="M72" s="24">
        <f>ROUND(I72,2)+(ROUND(I72,2)*L72)</f>
        <v>51.6875</v>
      </c>
      <c r="N72" s="27">
        <f t="shared" si="7"/>
        <v>17786.53</v>
      </c>
      <c r="O72" s="15"/>
      <c r="P72" s="15" t="s">
        <v>66</v>
      </c>
      <c r="Q72" s="15" t="s">
        <v>180</v>
      </c>
      <c r="R72" s="15" t="s">
        <v>32</v>
      </c>
      <c r="S72" s="15" t="s">
        <v>21</v>
      </c>
      <c r="T72" s="16">
        <v>344.1</v>
      </c>
      <c r="U72" s="17">
        <f t="shared" si="8"/>
        <v>17786.529</v>
      </c>
    </row>
    <row r="73" ht="45" customHeight="1" spans="1:21">
      <c r="A73" s="14" t="s">
        <v>26</v>
      </c>
      <c r="B73" s="15" t="s">
        <v>194</v>
      </c>
      <c r="C73" s="15" t="s">
        <v>28</v>
      </c>
      <c r="D73" s="15" t="s">
        <v>195</v>
      </c>
      <c r="E73" s="15" t="s">
        <v>196</v>
      </c>
      <c r="F73" s="16">
        <f t="shared" si="5"/>
        <v>675.91</v>
      </c>
      <c r="G73" s="15" t="s">
        <v>115</v>
      </c>
      <c r="H73" s="17">
        <v>11.31</v>
      </c>
      <c r="I73" s="17">
        <f t="shared" si="6"/>
        <v>10.19031</v>
      </c>
      <c r="J73" s="24">
        <f t="shared" si="9"/>
        <v>9.553125</v>
      </c>
      <c r="K73" s="25">
        <v>0.099</v>
      </c>
      <c r="L73" s="26">
        <v>0.25</v>
      </c>
      <c r="M73" s="24">
        <f>ROUND(I73,2)+(ROUND(I73,2)*L73)</f>
        <v>12.7375</v>
      </c>
      <c r="N73" s="27">
        <f t="shared" si="7"/>
        <v>8611.09</v>
      </c>
      <c r="O73" s="15"/>
      <c r="P73" s="15" t="s">
        <v>66</v>
      </c>
      <c r="Q73" s="15" t="s">
        <v>180</v>
      </c>
      <c r="R73" s="15" t="s">
        <v>32</v>
      </c>
      <c r="S73" s="15" t="s">
        <v>21</v>
      </c>
      <c r="T73" s="16">
        <v>675.91</v>
      </c>
      <c r="U73" s="17">
        <f t="shared" si="8"/>
        <v>8611.0934</v>
      </c>
    </row>
    <row r="74" ht="45" customHeight="1" spans="1:21">
      <c r="A74" s="14" t="s">
        <v>26</v>
      </c>
      <c r="B74" s="15" t="s">
        <v>197</v>
      </c>
      <c r="C74" s="15" t="s">
        <v>28</v>
      </c>
      <c r="D74" s="15" t="s">
        <v>182</v>
      </c>
      <c r="E74" s="15" t="s">
        <v>183</v>
      </c>
      <c r="F74" s="16">
        <f t="shared" si="5"/>
        <v>9.64</v>
      </c>
      <c r="G74" s="15" t="s">
        <v>115</v>
      </c>
      <c r="H74" s="17">
        <v>10.06</v>
      </c>
      <c r="I74" s="17">
        <f t="shared" si="6"/>
        <v>9.06909</v>
      </c>
      <c r="J74" s="24">
        <f t="shared" si="9"/>
        <v>8.503125</v>
      </c>
      <c r="K74" s="25">
        <v>0.0985</v>
      </c>
      <c r="L74" s="26">
        <v>0.25</v>
      </c>
      <c r="M74" s="24">
        <f>ROUND(I74,2)+(ROUND(I74,2)*L74)</f>
        <v>11.3375</v>
      </c>
      <c r="N74" s="27">
        <f t="shared" si="7"/>
        <v>109.32</v>
      </c>
      <c r="O74" s="15"/>
      <c r="P74" s="15" t="s">
        <v>66</v>
      </c>
      <c r="Q74" s="15" t="s">
        <v>180</v>
      </c>
      <c r="R74" s="15" t="s">
        <v>32</v>
      </c>
      <c r="S74" s="15" t="s">
        <v>21</v>
      </c>
      <c r="T74" s="16">
        <v>9.64</v>
      </c>
      <c r="U74" s="17">
        <f t="shared" si="8"/>
        <v>109.3176</v>
      </c>
    </row>
    <row r="75" ht="45" customHeight="1" spans="1:21">
      <c r="A75" s="14" t="s">
        <v>26</v>
      </c>
      <c r="B75" s="15" t="s">
        <v>198</v>
      </c>
      <c r="C75" s="15" t="s">
        <v>28</v>
      </c>
      <c r="D75" s="15" t="s">
        <v>188</v>
      </c>
      <c r="E75" s="15" t="s">
        <v>189</v>
      </c>
      <c r="F75" s="16">
        <f t="shared" si="5"/>
        <v>365.31</v>
      </c>
      <c r="G75" s="15" t="s">
        <v>115</v>
      </c>
      <c r="H75" s="17">
        <v>13.06</v>
      </c>
      <c r="I75" s="17">
        <f t="shared" si="6"/>
        <v>11.78012</v>
      </c>
      <c r="J75" s="24">
        <f t="shared" si="9"/>
        <v>11.04</v>
      </c>
      <c r="K75" s="25">
        <v>0.098</v>
      </c>
      <c r="L75" s="26">
        <v>0.25</v>
      </c>
      <c r="M75" s="24">
        <v>14.72</v>
      </c>
      <c r="N75" s="27">
        <f t="shared" si="7"/>
        <v>5377.36</v>
      </c>
      <c r="O75" s="15"/>
      <c r="P75" s="15" t="s">
        <v>66</v>
      </c>
      <c r="Q75" s="15" t="s">
        <v>180</v>
      </c>
      <c r="R75" s="15" t="s">
        <v>32</v>
      </c>
      <c r="S75" s="15" t="s">
        <v>21</v>
      </c>
      <c r="T75" s="16">
        <v>365.31</v>
      </c>
      <c r="U75" s="17">
        <f t="shared" si="8"/>
        <v>5377.3632</v>
      </c>
    </row>
    <row r="76" ht="45" customHeight="1" spans="1:21">
      <c r="A76" s="14" t="s">
        <v>26</v>
      </c>
      <c r="B76" s="15" t="s">
        <v>199</v>
      </c>
      <c r="C76" s="15" t="s">
        <v>28</v>
      </c>
      <c r="D76" s="15" t="s">
        <v>200</v>
      </c>
      <c r="E76" s="15" t="s">
        <v>201</v>
      </c>
      <c r="F76" s="16">
        <f t="shared" si="5"/>
        <v>24.55</v>
      </c>
      <c r="G76" s="15" t="s">
        <v>89</v>
      </c>
      <c r="H76" s="17">
        <v>728.43</v>
      </c>
      <c r="I76" s="17">
        <f t="shared" si="6"/>
        <v>656.6723607</v>
      </c>
      <c r="J76" s="24">
        <f t="shared" si="9"/>
        <v>615.628125</v>
      </c>
      <c r="K76" s="25">
        <v>0.09851</v>
      </c>
      <c r="L76" s="26">
        <v>0.25</v>
      </c>
      <c r="M76" s="24">
        <f>ROUND(I76,2)+(ROUND(I76,2)*L76)</f>
        <v>820.8375</v>
      </c>
      <c r="N76" s="27">
        <f t="shared" si="7"/>
        <v>20151.62</v>
      </c>
      <c r="O76" s="15"/>
      <c r="P76" s="15" t="s">
        <v>66</v>
      </c>
      <c r="Q76" s="15" t="s">
        <v>180</v>
      </c>
      <c r="R76" s="15" t="s">
        <v>32</v>
      </c>
      <c r="S76" s="15" t="s">
        <v>21</v>
      </c>
      <c r="T76" s="16">
        <v>24.55</v>
      </c>
      <c r="U76" s="17">
        <f t="shared" si="8"/>
        <v>20151.622</v>
      </c>
    </row>
    <row r="77" ht="45" customHeight="1" spans="1:21">
      <c r="A77" s="14" t="s">
        <v>26</v>
      </c>
      <c r="B77" s="15" t="s">
        <v>202</v>
      </c>
      <c r="C77" s="15" t="s">
        <v>28</v>
      </c>
      <c r="D77" s="15" t="s">
        <v>203</v>
      </c>
      <c r="E77" s="15" t="s">
        <v>204</v>
      </c>
      <c r="F77" s="16">
        <f t="shared" si="5"/>
        <v>124.12</v>
      </c>
      <c r="G77" s="15" t="s">
        <v>48</v>
      </c>
      <c r="H77" s="17">
        <v>29.89</v>
      </c>
      <c r="I77" s="17">
        <f t="shared" si="6"/>
        <v>26.945835</v>
      </c>
      <c r="J77" s="24">
        <f t="shared" si="9"/>
        <v>25.26</v>
      </c>
      <c r="K77" s="25">
        <v>0.0985</v>
      </c>
      <c r="L77" s="26">
        <v>0.25</v>
      </c>
      <c r="M77" s="24">
        <v>33.68</v>
      </c>
      <c r="N77" s="27">
        <f t="shared" si="7"/>
        <v>4180.36</v>
      </c>
      <c r="O77" s="15"/>
      <c r="P77" s="15" t="s">
        <v>66</v>
      </c>
      <c r="Q77" s="15" t="s">
        <v>180</v>
      </c>
      <c r="R77" s="15" t="s">
        <v>32</v>
      </c>
      <c r="S77" s="15" t="s">
        <v>21</v>
      </c>
      <c r="T77" s="16">
        <v>124.12</v>
      </c>
      <c r="U77" s="17">
        <f t="shared" si="8"/>
        <v>4180.3616</v>
      </c>
    </row>
    <row r="78" ht="61.5" customHeight="1" spans="1:21">
      <c r="A78" s="14" t="s">
        <v>26</v>
      </c>
      <c r="B78" s="15" t="s">
        <v>205</v>
      </c>
      <c r="C78" s="15" t="s">
        <v>28</v>
      </c>
      <c r="D78" s="15" t="s">
        <v>178</v>
      </c>
      <c r="E78" s="15" t="s">
        <v>179</v>
      </c>
      <c r="F78" s="16">
        <f t="shared" si="5"/>
        <v>18</v>
      </c>
      <c r="G78" s="15" t="s">
        <v>31</v>
      </c>
      <c r="H78" s="17">
        <v>45.87</v>
      </c>
      <c r="I78" s="17">
        <f t="shared" si="6"/>
        <v>41.351805</v>
      </c>
      <c r="J78" s="24">
        <f t="shared" si="9"/>
        <v>38.76</v>
      </c>
      <c r="K78" s="25">
        <v>0.0985</v>
      </c>
      <c r="L78" s="26">
        <v>0.25</v>
      </c>
      <c r="M78" s="24">
        <v>51.68</v>
      </c>
      <c r="N78" s="27">
        <f t="shared" si="7"/>
        <v>930.24</v>
      </c>
      <c r="O78" s="15"/>
      <c r="P78" s="15" t="s">
        <v>66</v>
      </c>
      <c r="Q78" s="15" t="s">
        <v>180</v>
      </c>
      <c r="R78" s="15" t="s">
        <v>32</v>
      </c>
      <c r="S78" s="15" t="s">
        <v>21</v>
      </c>
      <c r="T78" s="16">
        <v>18</v>
      </c>
      <c r="U78" s="17">
        <f t="shared" si="8"/>
        <v>930.24</v>
      </c>
    </row>
    <row r="79" ht="45" customHeight="1" spans="1:21">
      <c r="A79" s="14" t="s">
        <v>26</v>
      </c>
      <c r="B79" s="15" t="s">
        <v>206</v>
      </c>
      <c r="C79" s="15" t="s">
        <v>28</v>
      </c>
      <c r="D79" s="15" t="s">
        <v>195</v>
      </c>
      <c r="E79" s="15" t="s">
        <v>196</v>
      </c>
      <c r="F79" s="16">
        <f t="shared" si="5"/>
        <v>43.92</v>
      </c>
      <c r="G79" s="15" t="s">
        <v>115</v>
      </c>
      <c r="H79" s="17">
        <v>11.31</v>
      </c>
      <c r="I79" s="17">
        <f t="shared" si="6"/>
        <v>10.19031</v>
      </c>
      <c r="J79" s="24">
        <f t="shared" si="9"/>
        <v>9.553125</v>
      </c>
      <c r="K79" s="25">
        <v>0.099</v>
      </c>
      <c r="L79" s="26">
        <v>0.25</v>
      </c>
      <c r="M79" s="24">
        <f>ROUND(I79,2)+(ROUND(I79,2)*L79)</f>
        <v>12.7375</v>
      </c>
      <c r="N79" s="27">
        <f t="shared" si="7"/>
        <v>559.54</v>
      </c>
      <c r="O79" s="15"/>
      <c r="P79" s="15" t="s">
        <v>66</v>
      </c>
      <c r="Q79" s="15" t="s">
        <v>180</v>
      </c>
      <c r="R79" s="15" t="s">
        <v>32</v>
      </c>
      <c r="S79" s="15" t="s">
        <v>21</v>
      </c>
      <c r="T79" s="16">
        <v>43.92</v>
      </c>
      <c r="U79" s="17">
        <f t="shared" si="8"/>
        <v>559.5408</v>
      </c>
    </row>
    <row r="80" ht="45" customHeight="1" spans="1:21">
      <c r="A80" s="14" t="s">
        <v>26</v>
      </c>
      <c r="B80" s="15" t="s">
        <v>207</v>
      </c>
      <c r="C80" s="15" t="s">
        <v>28</v>
      </c>
      <c r="D80" s="15" t="s">
        <v>188</v>
      </c>
      <c r="E80" s="15" t="s">
        <v>189</v>
      </c>
      <c r="F80" s="16">
        <f t="shared" si="5"/>
        <v>13.66</v>
      </c>
      <c r="G80" s="15" t="s">
        <v>115</v>
      </c>
      <c r="H80" s="17">
        <v>13.06</v>
      </c>
      <c r="I80" s="17">
        <f t="shared" si="6"/>
        <v>11.78012</v>
      </c>
      <c r="J80" s="24">
        <f t="shared" si="9"/>
        <v>11.04</v>
      </c>
      <c r="K80" s="25">
        <v>0.098</v>
      </c>
      <c r="L80" s="26">
        <v>0.25</v>
      </c>
      <c r="M80" s="24">
        <v>14.72</v>
      </c>
      <c r="N80" s="27">
        <f t="shared" si="7"/>
        <v>201.08</v>
      </c>
      <c r="O80" s="15"/>
      <c r="P80" s="15" t="s">
        <v>66</v>
      </c>
      <c r="Q80" s="15" t="s">
        <v>180</v>
      </c>
      <c r="R80" s="15" t="s">
        <v>32</v>
      </c>
      <c r="S80" s="15" t="s">
        <v>21</v>
      </c>
      <c r="T80" s="16">
        <v>13.66</v>
      </c>
      <c r="U80" s="17">
        <f t="shared" si="8"/>
        <v>201.0752</v>
      </c>
    </row>
    <row r="81" ht="45" customHeight="1" spans="1:21">
      <c r="A81" s="14" t="s">
        <v>26</v>
      </c>
      <c r="B81" s="15" t="s">
        <v>208</v>
      </c>
      <c r="C81" s="15" t="s">
        <v>28</v>
      </c>
      <c r="D81" s="15" t="s">
        <v>191</v>
      </c>
      <c r="E81" s="15" t="s">
        <v>192</v>
      </c>
      <c r="F81" s="16">
        <f t="shared" si="5"/>
        <v>0.76</v>
      </c>
      <c r="G81" s="15" t="s">
        <v>89</v>
      </c>
      <c r="H81" s="17">
        <v>727.05</v>
      </c>
      <c r="I81" s="17">
        <f t="shared" si="6"/>
        <v>655.421034</v>
      </c>
      <c r="J81" s="24">
        <f t="shared" si="9"/>
        <v>614.45625</v>
      </c>
      <c r="K81" s="25">
        <v>0.09852</v>
      </c>
      <c r="L81" s="26">
        <v>0.25</v>
      </c>
      <c r="M81" s="24">
        <f>ROUND(I81,2)+(ROUND(I81,2)*L81)</f>
        <v>819.275</v>
      </c>
      <c r="N81" s="27">
        <f t="shared" si="7"/>
        <v>622.65</v>
      </c>
      <c r="O81" s="15"/>
      <c r="P81" s="15" t="s">
        <v>66</v>
      </c>
      <c r="Q81" s="15" t="s">
        <v>180</v>
      </c>
      <c r="R81" s="15" t="s">
        <v>32</v>
      </c>
      <c r="S81" s="15" t="s">
        <v>21</v>
      </c>
      <c r="T81" s="16">
        <v>0.76</v>
      </c>
      <c r="U81" s="17">
        <f t="shared" si="8"/>
        <v>622.6528</v>
      </c>
    </row>
    <row r="82" ht="58.5" customHeight="1" spans="1:21">
      <c r="A82" s="14" t="s">
        <v>26</v>
      </c>
      <c r="B82" s="15" t="s">
        <v>209</v>
      </c>
      <c r="C82" s="15" t="s">
        <v>28</v>
      </c>
      <c r="D82" s="15" t="s">
        <v>178</v>
      </c>
      <c r="E82" s="15" t="s">
        <v>179</v>
      </c>
      <c r="F82" s="16">
        <f t="shared" si="5"/>
        <v>19.24</v>
      </c>
      <c r="G82" s="15" t="s">
        <v>31</v>
      </c>
      <c r="H82" s="17">
        <v>45.87</v>
      </c>
      <c r="I82" s="17">
        <f t="shared" si="6"/>
        <v>41.351805</v>
      </c>
      <c r="J82" s="24">
        <f t="shared" si="9"/>
        <v>38.765625</v>
      </c>
      <c r="K82" s="25">
        <v>0.0985</v>
      </c>
      <c r="L82" s="26">
        <v>0.25</v>
      </c>
      <c r="M82" s="24">
        <f>ROUND(I82,2)+(ROUND(I82,2)*L82)</f>
        <v>51.6875</v>
      </c>
      <c r="N82" s="27">
        <f t="shared" si="7"/>
        <v>994.52</v>
      </c>
      <c r="O82" s="15"/>
      <c r="P82" s="15" t="s">
        <v>66</v>
      </c>
      <c r="Q82" s="15" t="s">
        <v>180</v>
      </c>
      <c r="R82" s="15" t="s">
        <v>32</v>
      </c>
      <c r="S82" s="15" t="s">
        <v>21</v>
      </c>
      <c r="T82" s="16">
        <v>19.24</v>
      </c>
      <c r="U82" s="17">
        <f t="shared" si="8"/>
        <v>994.5156</v>
      </c>
    </row>
    <row r="83" ht="45" customHeight="1" spans="1:21">
      <c r="A83" s="14" t="s">
        <v>26</v>
      </c>
      <c r="B83" s="15" t="s">
        <v>210</v>
      </c>
      <c r="C83" s="15" t="s">
        <v>28</v>
      </c>
      <c r="D83" s="15" t="s">
        <v>211</v>
      </c>
      <c r="E83" s="15" t="s">
        <v>212</v>
      </c>
      <c r="F83" s="16">
        <f t="shared" si="5"/>
        <v>15.26</v>
      </c>
      <c r="G83" s="15" t="s">
        <v>115</v>
      </c>
      <c r="H83" s="17">
        <v>12.18</v>
      </c>
      <c r="I83" s="17">
        <f t="shared" si="6"/>
        <v>10.9744236</v>
      </c>
      <c r="J83" s="24">
        <f t="shared" si="9"/>
        <v>10.29</v>
      </c>
      <c r="K83" s="25">
        <v>0.09898</v>
      </c>
      <c r="L83" s="26">
        <v>0.25</v>
      </c>
      <c r="M83" s="24">
        <v>13.72</v>
      </c>
      <c r="N83" s="27">
        <f t="shared" si="7"/>
        <v>209.37</v>
      </c>
      <c r="O83" s="15"/>
      <c r="P83" s="15" t="s">
        <v>66</v>
      </c>
      <c r="Q83" s="15" t="s">
        <v>180</v>
      </c>
      <c r="R83" s="15" t="s">
        <v>32</v>
      </c>
      <c r="S83" s="15" t="s">
        <v>21</v>
      </c>
      <c r="T83" s="16">
        <v>15.26</v>
      </c>
      <c r="U83" s="17">
        <f t="shared" si="8"/>
        <v>209.3672</v>
      </c>
    </row>
    <row r="84" ht="45" customHeight="1" spans="1:21">
      <c r="A84" s="14" t="s">
        <v>26</v>
      </c>
      <c r="B84" s="15" t="s">
        <v>213</v>
      </c>
      <c r="C84" s="15" t="s">
        <v>28</v>
      </c>
      <c r="D84" s="15" t="s">
        <v>195</v>
      </c>
      <c r="E84" s="15" t="s">
        <v>196</v>
      </c>
      <c r="F84" s="16">
        <f t="shared" si="5"/>
        <v>19.45</v>
      </c>
      <c r="G84" s="15" t="s">
        <v>115</v>
      </c>
      <c r="H84" s="17">
        <v>11.31</v>
      </c>
      <c r="I84" s="17">
        <f t="shared" si="6"/>
        <v>10.19031</v>
      </c>
      <c r="J84" s="24">
        <f t="shared" si="9"/>
        <v>9.553125</v>
      </c>
      <c r="K84" s="25">
        <v>0.099</v>
      </c>
      <c r="L84" s="26">
        <v>0.25</v>
      </c>
      <c r="M84" s="24">
        <f>ROUND(I84,2)+(ROUND(I84,2)*L84)</f>
        <v>12.7375</v>
      </c>
      <c r="N84" s="27">
        <f t="shared" si="7"/>
        <v>247.79</v>
      </c>
      <c r="O84" s="15"/>
      <c r="P84" s="15" t="s">
        <v>66</v>
      </c>
      <c r="Q84" s="15" t="s">
        <v>180</v>
      </c>
      <c r="R84" s="15" t="s">
        <v>32</v>
      </c>
      <c r="S84" s="15" t="s">
        <v>21</v>
      </c>
      <c r="T84" s="16">
        <v>19.45</v>
      </c>
      <c r="U84" s="17">
        <f t="shared" si="8"/>
        <v>247.793</v>
      </c>
    </row>
    <row r="85" ht="45" customHeight="1" spans="1:21">
      <c r="A85" s="14" t="s">
        <v>26</v>
      </c>
      <c r="B85" s="15" t="s">
        <v>214</v>
      </c>
      <c r="C85" s="15" t="s">
        <v>28</v>
      </c>
      <c r="D85" s="15" t="s">
        <v>182</v>
      </c>
      <c r="E85" s="15" t="s">
        <v>183</v>
      </c>
      <c r="F85" s="16">
        <f t="shared" si="5"/>
        <v>28.01</v>
      </c>
      <c r="G85" s="15" t="s">
        <v>115</v>
      </c>
      <c r="H85" s="17">
        <v>10.06</v>
      </c>
      <c r="I85" s="17">
        <f t="shared" si="6"/>
        <v>9.06909</v>
      </c>
      <c r="J85" s="24">
        <f t="shared" si="9"/>
        <v>8.503125</v>
      </c>
      <c r="K85" s="25">
        <v>0.0985</v>
      </c>
      <c r="L85" s="26">
        <v>0.25</v>
      </c>
      <c r="M85" s="24">
        <f>ROUND(I85,2)+(ROUND(I85,2)*L85)</f>
        <v>11.3375</v>
      </c>
      <c r="N85" s="27">
        <f t="shared" si="7"/>
        <v>317.63</v>
      </c>
      <c r="O85" s="15"/>
      <c r="P85" s="15" t="s">
        <v>66</v>
      </c>
      <c r="Q85" s="15" t="s">
        <v>180</v>
      </c>
      <c r="R85" s="15" t="s">
        <v>32</v>
      </c>
      <c r="S85" s="15" t="s">
        <v>21</v>
      </c>
      <c r="T85" s="16">
        <v>28.01</v>
      </c>
      <c r="U85" s="17">
        <f t="shared" si="8"/>
        <v>317.6334</v>
      </c>
    </row>
    <row r="86" ht="45" customHeight="1" spans="1:21">
      <c r="A86" s="14" t="s">
        <v>26</v>
      </c>
      <c r="B86" s="15" t="s">
        <v>215</v>
      </c>
      <c r="C86" s="15" t="s">
        <v>28</v>
      </c>
      <c r="D86" s="15" t="s">
        <v>188</v>
      </c>
      <c r="E86" s="15" t="s">
        <v>189</v>
      </c>
      <c r="F86" s="16">
        <f t="shared" ref="F86:F149" si="10">T86</f>
        <v>17.06</v>
      </c>
      <c r="G86" s="15" t="s">
        <v>115</v>
      </c>
      <c r="H86" s="17">
        <v>13.06</v>
      </c>
      <c r="I86" s="17">
        <f t="shared" ref="I86:I149" si="11">H86-H86*K86</f>
        <v>11.7686272</v>
      </c>
      <c r="J86" s="24">
        <f t="shared" si="9"/>
        <v>11.04</v>
      </c>
      <c r="K86" s="25">
        <v>0.09888</v>
      </c>
      <c r="L86" s="26">
        <v>0.25</v>
      </c>
      <c r="M86" s="24">
        <v>14.72</v>
      </c>
      <c r="N86" s="27">
        <f t="shared" ref="N86:N149" si="12">ROUND(U86,2)</f>
        <v>251.12</v>
      </c>
      <c r="O86" s="15"/>
      <c r="P86" s="15" t="s">
        <v>66</v>
      </c>
      <c r="Q86" s="15" t="s">
        <v>180</v>
      </c>
      <c r="R86" s="15" t="s">
        <v>32</v>
      </c>
      <c r="S86" s="15" t="s">
        <v>21</v>
      </c>
      <c r="T86" s="16">
        <v>17.06</v>
      </c>
      <c r="U86" s="17">
        <f t="shared" ref="U86:U149" si="13">ROUND(M86,2)*T86</f>
        <v>251.1232</v>
      </c>
    </row>
    <row r="87" ht="45" customHeight="1" spans="1:21">
      <c r="A87" s="14" t="s">
        <v>26</v>
      </c>
      <c r="B87" s="15" t="s">
        <v>216</v>
      </c>
      <c r="C87" s="15" t="s">
        <v>28</v>
      </c>
      <c r="D87" s="15" t="s">
        <v>200</v>
      </c>
      <c r="E87" s="15" t="s">
        <v>201</v>
      </c>
      <c r="F87" s="16">
        <f t="shared" si="10"/>
        <v>1.23</v>
      </c>
      <c r="G87" s="15" t="s">
        <v>89</v>
      </c>
      <c r="H87" s="17">
        <v>728.43</v>
      </c>
      <c r="I87" s="17">
        <f t="shared" si="11"/>
        <v>656.6723607</v>
      </c>
      <c r="J87" s="24">
        <f t="shared" ref="J87:J150" si="14">M87-M87*L87</f>
        <v>615.628125</v>
      </c>
      <c r="K87" s="25">
        <v>0.09851</v>
      </c>
      <c r="L87" s="26">
        <v>0.25</v>
      </c>
      <c r="M87" s="24">
        <f>ROUND(I87,2)+(ROUND(I87,2)*L87)</f>
        <v>820.8375</v>
      </c>
      <c r="N87" s="27">
        <f t="shared" si="12"/>
        <v>1009.63</v>
      </c>
      <c r="O87" s="15"/>
      <c r="P87" s="15" t="s">
        <v>66</v>
      </c>
      <c r="Q87" s="15" t="s">
        <v>180</v>
      </c>
      <c r="R87" s="15" t="s">
        <v>32</v>
      </c>
      <c r="S87" s="15" t="s">
        <v>21</v>
      </c>
      <c r="T87" s="16">
        <v>1.23</v>
      </c>
      <c r="U87" s="17">
        <f t="shared" si="13"/>
        <v>1009.6332</v>
      </c>
    </row>
    <row r="88" ht="56.25" customHeight="1" spans="1:21">
      <c r="A88" s="14" t="s">
        <v>26</v>
      </c>
      <c r="B88" s="15" t="s">
        <v>217</v>
      </c>
      <c r="C88" s="15" t="s">
        <v>28</v>
      </c>
      <c r="D88" s="15" t="s">
        <v>218</v>
      </c>
      <c r="E88" s="15" t="s">
        <v>219</v>
      </c>
      <c r="F88" s="16">
        <f t="shared" si="10"/>
        <v>9693.31</v>
      </c>
      <c r="G88" s="15" t="s">
        <v>115</v>
      </c>
      <c r="H88" s="17">
        <v>13.53</v>
      </c>
      <c r="I88" s="17">
        <f t="shared" si="11"/>
        <v>12.194589</v>
      </c>
      <c r="J88" s="24">
        <f t="shared" si="14"/>
        <v>11.428125</v>
      </c>
      <c r="K88" s="25">
        <v>0.0987</v>
      </c>
      <c r="L88" s="26">
        <v>0.25</v>
      </c>
      <c r="M88" s="24">
        <f>ROUND(I88,2)+(ROUND(I88,2)*L88)</f>
        <v>15.2375</v>
      </c>
      <c r="N88" s="27">
        <f t="shared" si="12"/>
        <v>147726.04</v>
      </c>
      <c r="O88" s="15"/>
      <c r="P88" s="15" t="s">
        <v>66</v>
      </c>
      <c r="Q88" s="15" t="s">
        <v>180</v>
      </c>
      <c r="R88" s="15" t="s">
        <v>32</v>
      </c>
      <c r="S88" s="15" t="s">
        <v>21</v>
      </c>
      <c r="T88" s="16">
        <v>9693.31</v>
      </c>
      <c r="U88" s="17">
        <f t="shared" si="13"/>
        <v>147726.0444</v>
      </c>
    </row>
    <row r="89" ht="45" customHeight="1" spans="1:21">
      <c r="A89" s="14" t="s">
        <v>26</v>
      </c>
      <c r="B89" s="15" t="s">
        <v>220</v>
      </c>
      <c r="C89" s="15" t="s">
        <v>28</v>
      </c>
      <c r="D89" s="15" t="s">
        <v>221</v>
      </c>
      <c r="E89" s="15" t="s">
        <v>222</v>
      </c>
      <c r="F89" s="16">
        <f t="shared" si="10"/>
        <v>783.72</v>
      </c>
      <c r="G89" s="15" t="s">
        <v>31</v>
      </c>
      <c r="H89" s="17">
        <v>3.13</v>
      </c>
      <c r="I89" s="17">
        <f t="shared" si="11"/>
        <v>2.814183</v>
      </c>
      <c r="J89" s="24">
        <f t="shared" si="14"/>
        <v>2.64</v>
      </c>
      <c r="K89" s="25">
        <v>0.1009</v>
      </c>
      <c r="L89" s="26">
        <v>0.25</v>
      </c>
      <c r="M89" s="24">
        <v>3.52</v>
      </c>
      <c r="N89" s="27">
        <f t="shared" si="12"/>
        <v>2758.69</v>
      </c>
      <c r="O89" s="15"/>
      <c r="P89" s="15" t="s">
        <v>66</v>
      </c>
      <c r="Q89" s="15" t="s">
        <v>180</v>
      </c>
      <c r="R89" s="15" t="s">
        <v>32</v>
      </c>
      <c r="S89" s="15" t="s">
        <v>21</v>
      </c>
      <c r="T89" s="16">
        <v>783.72</v>
      </c>
      <c r="U89" s="17">
        <f t="shared" si="13"/>
        <v>2758.6944</v>
      </c>
    </row>
    <row r="90" ht="45" customHeight="1" spans="1:21">
      <c r="A90" s="14" t="s">
        <v>26</v>
      </c>
      <c r="B90" s="15" t="s">
        <v>223</v>
      </c>
      <c r="C90" s="15" t="s">
        <v>28</v>
      </c>
      <c r="D90" s="15" t="s">
        <v>224</v>
      </c>
      <c r="E90" s="15" t="s">
        <v>225</v>
      </c>
      <c r="F90" s="16">
        <f t="shared" si="10"/>
        <v>39.19</v>
      </c>
      <c r="G90" s="15" t="s">
        <v>89</v>
      </c>
      <c r="H90" s="17">
        <v>245.31</v>
      </c>
      <c r="I90" s="17">
        <f t="shared" si="11"/>
        <v>221.146965</v>
      </c>
      <c r="J90" s="24">
        <f t="shared" si="14"/>
        <v>207.315</v>
      </c>
      <c r="K90" s="25">
        <v>0.0985</v>
      </c>
      <c r="L90" s="26">
        <v>0.25</v>
      </c>
      <c r="M90" s="24">
        <v>276.42</v>
      </c>
      <c r="N90" s="27">
        <f t="shared" si="12"/>
        <v>10832.9</v>
      </c>
      <c r="O90" s="15"/>
      <c r="P90" s="15" t="s">
        <v>66</v>
      </c>
      <c r="Q90" s="15" t="s">
        <v>180</v>
      </c>
      <c r="R90" s="15" t="s">
        <v>32</v>
      </c>
      <c r="S90" s="15" t="s">
        <v>21</v>
      </c>
      <c r="T90" s="16">
        <v>39.19</v>
      </c>
      <c r="U90" s="17">
        <f t="shared" si="13"/>
        <v>10832.8998</v>
      </c>
    </row>
    <row r="91" ht="45" customHeight="1" spans="1:21">
      <c r="A91" s="14" t="s">
        <v>26</v>
      </c>
      <c r="B91" s="15" t="s">
        <v>226</v>
      </c>
      <c r="C91" s="15" t="s">
        <v>28</v>
      </c>
      <c r="D91" s="15" t="s">
        <v>227</v>
      </c>
      <c r="E91" s="15" t="s">
        <v>228</v>
      </c>
      <c r="F91" s="16">
        <f t="shared" si="10"/>
        <v>783.72</v>
      </c>
      <c r="G91" s="15" t="s">
        <v>31</v>
      </c>
      <c r="H91" s="17">
        <v>2.5</v>
      </c>
      <c r="I91" s="17">
        <f t="shared" si="11"/>
        <v>2.255</v>
      </c>
      <c r="J91" s="24">
        <f t="shared" si="14"/>
        <v>2.115</v>
      </c>
      <c r="K91" s="25">
        <v>0.098</v>
      </c>
      <c r="L91" s="26">
        <v>0.25</v>
      </c>
      <c r="M91" s="24">
        <v>2.82</v>
      </c>
      <c r="N91" s="27">
        <f t="shared" si="12"/>
        <v>2210.09</v>
      </c>
      <c r="O91" s="15"/>
      <c r="P91" s="15" t="s">
        <v>66</v>
      </c>
      <c r="Q91" s="15" t="s">
        <v>180</v>
      </c>
      <c r="R91" s="15" t="s">
        <v>32</v>
      </c>
      <c r="S91" s="15" t="s">
        <v>21</v>
      </c>
      <c r="T91" s="16">
        <v>783.72</v>
      </c>
      <c r="U91" s="17">
        <f t="shared" si="13"/>
        <v>2210.0904</v>
      </c>
    </row>
    <row r="92" ht="45" customHeight="1" spans="1:21">
      <c r="A92" s="14" t="s">
        <v>26</v>
      </c>
      <c r="B92" s="15" t="s">
        <v>229</v>
      </c>
      <c r="C92" s="15" t="s">
        <v>28</v>
      </c>
      <c r="D92" s="15" t="s">
        <v>230</v>
      </c>
      <c r="E92" s="15" t="s">
        <v>231</v>
      </c>
      <c r="F92" s="16">
        <f t="shared" si="10"/>
        <v>54.86</v>
      </c>
      <c r="G92" s="15" t="s">
        <v>89</v>
      </c>
      <c r="H92" s="17">
        <v>798.59</v>
      </c>
      <c r="I92" s="17">
        <f t="shared" si="11"/>
        <v>719.9208991</v>
      </c>
      <c r="J92" s="24">
        <f t="shared" si="14"/>
        <v>674.925</v>
      </c>
      <c r="K92" s="25">
        <v>0.09851</v>
      </c>
      <c r="L92" s="26">
        <v>0.25</v>
      </c>
      <c r="M92" s="24">
        <f>ROUND(I92,2)+(ROUND(I92,2)*L92)</f>
        <v>899.9</v>
      </c>
      <c r="N92" s="27">
        <f t="shared" si="12"/>
        <v>49368.51</v>
      </c>
      <c r="O92" s="15"/>
      <c r="P92" s="15" t="s">
        <v>66</v>
      </c>
      <c r="Q92" s="15" t="s">
        <v>180</v>
      </c>
      <c r="R92" s="15" t="s">
        <v>32</v>
      </c>
      <c r="S92" s="15" t="s">
        <v>21</v>
      </c>
      <c r="T92" s="16">
        <v>54.86</v>
      </c>
      <c r="U92" s="17">
        <f t="shared" si="13"/>
        <v>49368.514</v>
      </c>
    </row>
    <row r="93" ht="45" customHeight="1" spans="1:21">
      <c r="A93" s="14" t="s">
        <v>26</v>
      </c>
      <c r="B93" s="15" t="s">
        <v>232</v>
      </c>
      <c r="C93" s="15" t="s">
        <v>28</v>
      </c>
      <c r="D93" s="15" t="s">
        <v>221</v>
      </c>
      <c r="E93" s="15" t="s">
        <v>222</v>
      </c>
      <c r="F93" s="16">
        <f t="shared" si="10"/>
        <v>254.8</v>
      </c>
      <c r="G93" s="15" t="s">
        <v>31</v>
      </c>
      <c r="H93" s="17">
        <v>3.13</v>
      </c>
      <c r="I93" s="17">
        <f t="shared" si="11"/>
        <v>2.814183</v>
      </c>
      <c r="J93" s="24">
        <f t="shared" si="14"/>
        <v>2.64</v>
      </c>
      <c r="K93" s="25">
        <v>0.1009</v>
      </c>
      <c r="L93" s="26">
        <v>0.25</v>
      </c>
      <c r="M93" s="24">
        <v>3.52</v>
      </c>
      <c r="N93" s="27">
        <f t="shared" si="12"/>
        <v>896.9</v>
      </c>
      <c r="O93" s="15"/>
      <c r="P93" s="15" t="s">
        <v>66</v>
      </c>
      <c r="Q93" s="15" t="s">
        <v>180</v>
      </c>
      <c r="R93" s="15" t="s">
        <v>32</v>
      </c>
      <c r="S93" s="15" t="s">
        <v>21</v>
      </c>
      <c r="T93" s="16">
        <v>254.8</v>
      </c>
      <c r="U93" s="17">
        <f t="shared" si="13"/>
        <v>896.896</v>
      </c>
    </row>
    <row r="94" ht="45" customHeight="1" spans="1:21">
      <c r="A94" s="14" t="s">
        <v>26</v>
      </c>
      <c r="B94" s="15" t="s">
        <v>233</v>
      </c>
      <c r="C94" s="15" t="s">
        <v>28</v>
      </c>
      <c r="D94" s="15" t="s">
        <v>224</v>
      </c>
      <c r="E94" s="15" t="s">
        <v>225</v>
      </c>
      <c r="F94" s="16">
        <f t="shared" si="10"/>
        <v>12.74</v>
      </c>
      <c r="G94" s="15" t="s">
        <v>89</v>
      </c>
      <c r="H94" s="17">
        <v>245.31</v>
      </c>
      <c r="I94" s="17">
        <f t="shared" si="11"/>
        <v>221.146965</v>
      </c>
      <c r="J94" s="24">
        <f t="shared" si="14"/>
        <v>207.315</v>
      </c>
      <c r="K94" s="25">
        <v>0.0985</v>
      </c>
      <c r="L94" s="26">
        <v>0.25</v>
      </c>
      <c r="M94" s="24">
        <v>276.42</v>
      </c>
      <c r="N94" s="27">
        <f t="shared" si="12"/>
        <v>3521.59</v>
      </c>
      <c r="O94" s="15"/>
      <c r="P94" s="15" t="s">
        <v>66</v>
      </c>
      <c r="Q94" s="15" t="s">
        <v>180</v>
      </c>
      <c r="R94" s="15" t="s">
        <v>32</v>
      </c>
      <c r="S94" s="15" t="s">
        <v>21</v>
      </c>
      <c r="T94" s="16">
        <v>12.74</v>
      </c>
      <c r="U94" s="17">
        <f t="shared" si="13"/>
        <v>3521.5908</v>
      </c>
    </row>
    <row r="95" ht="45" customHeight="1" spans="1:21">
      <c r="A95" s="14" t="s">
        <v>26</v>
      </c>
      <c r="B95" s="15" t="s">
        <v>234</v>
      </c>
      <c r="C95" s="15" t="s">
        <v>28</v>
      </c>
      <c r="D95" s="15" t="s">
        <v>227</v>
      </c>
      <c r="E95" s="15" t="s">
        <v>228</v>
      </c>
      <c r="F95" s="16">
        <f t="shared" si="10"/>
        <v>254.8</v>
      </c>
      <c r="G95" s="15" t="s">
        <v>31</v>
      </c>
      <c r="H95" s="17">
        <v>2.5</v>
      </c>
      <c r="I95" s="17">
        <f t="shared" si="11"/>
        <v>2.255</v>
      </c>
      <c r="J95" s="24">
        <f t="shared" si="14"/>
        <v>2.115</v>
      </c>
      <c r="K95" s="25">
        <v>0.098</v>
      </c>
      <c r="L95" s="26">
        <v>0.25</v>
      </c>
      <c r="M95" s="24">
        <v>2.82</v>
      </c>
      <c r="N95" s="27">
        <f t="shared" si="12"/>
        <v>718.54</v>
      </c>
      <c r="O95" s="15"/>
      <c r="P95" s="15" t="s">
        <v>66</v>
      </c>
      <c r="Q95" s="15" t="s">
        <v>180</v>
      </c>
      <c r="R95" s="15" t="s">
        <v>32</v>
      </c>
      <c r="S95" s="15" t="s">
        <v>21</v>
      </c>
      <c r="T95" s="16">
        <v>254.8</v>
      </c>
      <c r="U95" s="17">
        <f t="shared" si="13"/>
        <v>718.536</v>
      </c>
    </row>
    <row r="96" ht="45" customHeight="1" spans="1:21">
      <c r="A96" s="14" t="s">
        <v>26</v>
      </c>
      <c r="B96" s="15" t="s">
        <v>235</v>
      </c>
      <c r="C96" s="15" t="s">
        <v>28</v>
      </c>
      <c r="D96" s="15" t="s">
        <v>230</v>
      </c>
      <c r="E96" s="15" t="s">
        <v>231</v>
      </c>
      <c r="F96" s="16">
        <f t="shared" si="10"/>
        <v>17.84</v>
      </c>
      <c r="G96" s="15" t="s">
        <v>89</v>
      </c>
      <c r="H96" s="17">
        <v>798.59</v>
      </c>
      <c r="I96" s="17">
        <f t="shared" si="11"/>
        <v>719.9208991</v>
      </c>
      <c r="J96" s="24">
        <f t="shared" si="14"/>
        <v>674.925</v>
      </c>
      <c r="K96" s="25">
        <v>0.09851</v>
      </c>
      <c r="L96" s="26">
        <v>0.25</v>
      </c>
      <c r="M96" s="24">
        <f>ROUND(I96,2)+(ROUND(I96,2)*L96)</f>
        <v>899.9</v>
      </c>
      <c r="N96" s="27">
        <f t="shared" si="12"/>
        <v>16054.22</v>
      </c>
      <c r="O96" s="15"/>
      <c r="P96" s="15" t="s">
        <v>66</v>
      </c>
      <c r="Q96" s="15" t="s">
        <v>180</v>
      </c>
      <c r="R96" s="15" t="s">
        <v>32</v>
      </c>
      <c r="S96" s="15" t="s">
        <v>21</v>
      </c>
      <c r="T96" s="16">
        <v>17.84</v>
      </c>
      <c r="U96" s="17">
        <f t="shared" si="13"/>
        <v>16054.216</v>
      </c>
    </row>
    <row r="97" ht="45" customHeight="1" spans="1:21">
      <c r="A97" s="14" t="s">
        <v>26</v>
      </c>
      <c r="B97" s="15" t="s">
        <v>236</v>
      </c>
      <c r="C97" s="15" t="s">
        <v>28</v>
      </c>
      <c r="D97" s="15" t="s">
        <v>237</v>
      </c>
      <c r="E97" s="15" t="s">
        <v>238</v>
      </c>
      <c r="F97" s="16">
        <f t="shared" si="10"/>
        <v>6.1</v>
      </c>
      <c r="G97" s="15" t="s">
        <v>31</v>
      </c>
      <c r="H97" s="17">
        <v>223.67</v>
      </c>
      <c r="I97" s="17">
        <f t="shared" si="11"/>
        <v>201.616138</v>
      </c>
      <c r="J97" s="24">
        <f t="shared" si="14"/>
        <v>189.03</v>
      </c>
      <c r="K97" s="25">
        <v>0.0986</v>
      </c>
      <c r="L97" s="26">
        <v>0.25</v>
      </c>
      <c r="M97" s="24">
        <v>252.04</v>
      </c>
      <c r="N97" s="27">
        <f t="shared" si="12"/>
        <v>1537.44</v>
      </c>
      <c r="O97" s="15"/>
      <c r="P97" s="15" t="s">
        <v>68</v>
      </c>
      <c r="Q97" s="15" t="s">
        <v>239</v>
      </c>
      <c r="R97" s="15" t="s">
        <v>32</v>
      </c>
      <c r="S97" s="15" t="s">
        <v>21</v>
      </c>
      <c r="T97" s="16">
        <v>6.1</v>
      </c>
      <c r="U97" s="17">
        <f t="shared" si="13"/>
        <v>1537.444</v>
      </c>
    </row>
    <row r="98" ht="54.75" customHeight="1" spans="1:21">
      <c r="A98" s="14" t="s">
        <v>26</v>
      </c>
      <c r="B98" s="15" t="s">
        <v>240</v>
      </c>
      <c r="C98" s="15" t="s">
        <v>28</v>
      </c>
      <c r="D98" s="15" t="s">
        <v>241</v>
      </c>
      <c r="E98" s="15" t="s">
        <v>242</v>
      </c>
      <c r="F98" s="16">
        <f t="shared" si="10"/>
        <v>572.77</v>
      </c>
      <c r="G98" s="15" t="s">
        <v>31</v>
      </c>
      <c r="H98" s="17">
        <v>55.94</v>
      </c>
      <c r="I98" s="17">
        <f t="shared" si="11"/>
        <v>50.4148062</v>
      </c>
      <c r="J98" s="24">
        <f t="shared" si="14"/>
        <v>47.265</v>
      </c>
      <c r="K98" s="25">
        <v>0.09877</v>
      </c>
      <c r="L98" s="26">
        <v>0.25</v>
      </c>
      <c r="M98" s="24">
        <v>63.02</v>
      </c>
      <c r="N98" s="27">
        <f t="shared" si="12"/>
        <v>36095.97</v>
      </c>
      <c r="O98" s="15"/>
      <c r="P98" s="15" t="s">
        <v>68</v>
      </c>
      <c r="Q98" s="15" t="s">
        <v>239</v>
      </c>
      <c r="R98" s="15" t="s">
        <v>32</v>
      </c>
      <c r="S98" s="15" t="s">
        <v>21</v>
      </c>
      <c r="T98" s="16">
        <v>572.77</v>
      </c>
      <c r="U98" s="17">
        <f t="shared" si="13"/>
        <v>36095.9654</v>
      </c>
    </row>
    <row r="99" ht="50.25" customHeight="1" spans="1:21">
      <c r="A99" s="14" t="s">
        <v>26</v>
      </c>
      <c r="B99" s="15" t="s">
        <v>243</v>
      </c>
      <c r="C99" s="15" t="s">
        <v>28</v>
      </c>
      <c r="D99" s="15" t="s">
        <v>244</v>
      </c>
      <c r="E99" s="15" t="s">
        <v>245</v>
      </c>
      <c r="F99" s="16">
        <f t="shared" si="10"/>
        <v>1038</v>
      </c>
      <c r="G99" s="15" t="s">
        <v>31</v>
      </c>
      <c r="H99" s="17">
        <v>87.86</v>
      </c>
      <c r="I99" s="17">
        <f t="shared" si="11"/>
        <v>79.188218</v>
      </c>
      <c r="J99" s="24">
        <f t="shared" si="14"/>
        <v>74.240625</v>
      </c>
      <c r="K99" s="25">
        <v>0.0987</v>
      </c>
      <c r="L99" s="26">
        <v>0.25</v>
      </c>
      <c r="M99" s="24">
        <f t="shared" ref="M99:M104" si="15">ROUND(I99,2)+(ROUND(I99,2)*L99)</f>
        <v>98.9875</v>
      </c>
      <c r="N99" s="27">
        <f t="shared" si="12"/>
        <v>102751.62</v>
      </c>
      <c r="O99" s="15"/>
      <c r="P99" s="15" t="s">
        <v>68</v>
      </c>
      <c r="Q99" s="15" t="s">
        <v>239</v>
      </c>
      <c r="R99" s="15" t="s">
        <v>32</v>
      </c>
      <c r="S99" s="15" t="s">
        <v>21</v>
      </c>
      <c r="T99" s="16">
        <v>1038</v>
      </c>
      <c r="U99" s="17">
        <f t="shared" si="13"/>
        <v>102751.62</v>
      </c>
    </row>
    <row r="100" ht="54.75" customHeight="1" spans="1:21">
      <c r="A100" s="14" t="s">
        <v>26</v>
      </c>
      <c r="B100" s="15" t="s">
        <v>246</v>
      </c>
      <c r="C100" s="15" t="s">
        <v>28</v>
      </c>
      <c r="D100" s="15" t="s">
        <v>247</v>
      </c>
      <c r="E100" s="15" t="s">
        <v>248</v>
      </c>
      <c r="F100" s="16">
        <f t="shared" si="10"/>
        <v>564.11</v>
      </c>
      <c r="G100" s="15" t="s">
        <v>31</v>
      </c>
      <c r="H100" s="17">
        <v>75.1</v>
      </c>
      <c r="I100" s="17">
        <f t="shared" si="11"/>
        <v>67.68763</v>
      </c>
      <c r="J100" s="24">
        <f t="shared" si="14"/>
        <v>63.459375</v>
      </c>
      <c r="K100" s="25">
        <v>0.0987</v>
      </c>
      <c r="L100" s="26">
        <v>0.25</v>
      </c>
      <c r="M100" s="24">
        <f t="shared" si="15"/>
        <v>84.6125</v>
      </c>
      <c r="N100" s="27">
        <f t="shared" si="12"/>
        <v>47729.35</v>
      </c>
      <c r="O100" s="15"/>
      <c r="P100" s="15" t="s">
        <v>68</v>
      </c>
      <c r="Q100" s="15" t="s">
        <v>239</v>
      </c>
      <c r="R100" s="15" t="s">
        <v>32</v>
      </c>
      <c r="S100" s="15" t="s">
        <v>21</v>
      </c>
      <c r="T100" s="16">
        <v>564.11</v>
      </c>
      <c r="U100" s="17">
        <f t="shared" si="13"/>
        <v>47729.3471</v>
      </c>
    </row>
    <row r="101" ht="50.25" customHeight="1" spans="1:21">
      <c r="A101" s="14" t="s">
        <v>26</v>
      </c>
      <c r="B101" s="15" t="s">
        <v>249</v>
      </c>
      <c r="C101" s="15" t="s">
        <v>28</v>
      </c>
      <c r="D101" s="15" t="s">
        <v>250</v>
      </c>
      <c r="E101" s="15" t="s">
        <v>251</v>
      </c>
      <c r="F101" s="16">
        <f t="shared" si="10"/>
        <v>9.72</v>
      </c>
      <c r="G101" s="15" t="s">
        <v>31</v>
      </c>
      <c r="H101" s="17">
        <v>135.88</v>
      </c>
      <c r="I101" s="17">
        <f t="shared" si="11"/>
        <v>122.489026</v>
      </c>
      <c r="J101" s="24">
        <f t="shared" si="14"/>
        <v>114.834375</v>
      </c>
      <c r="K101" s="25">
        <v>0.09855</v>
      </c>
      <c r="L101" s="26">
        <v>0.25</v>
      </c>
      <c r="M101" s="24">
        <f t="shared" si="15"/>
        <v>153.1125</v>
      </c>
      <c r="N101" s="27">
        <f t="shared" si="12"/>
        <v>1488.23</v>
      </c>
      <c r="O101" s="15"/>
      <c r="P101" s="15" t="s">
        <v>68</v>
      </c>
      <c r="Q101" s="15" t="s">
        <v>239</v>
      </c>
      <c r="R101" s="15" t="s">
        <v>32</v>
      </c>
      <c r="S101" s="15" t="s">
        <v>21</v>
      </c>
      <c r="T101" s="16">
        <v>9.72</v>
      </c>
      <c r="U101" s="17">
        <f t="shared" si="13"/>
        <v>1488.2292</v>
      </c>
    </row>
    <row r="102" ht="45" customHeight="1" spans="1:21">
      <c r="A102" s="14" t="s">
        <v>26</v>
      </c>
      <c r="B102" s="15" t="s">
        <v>252</v>
      </c>
      <c r="C102" s="15" t="s">
        <v>28</v>
      </c>
      <c r="D102" s="15" t="s">
        <v>253</v>
      </c>
      <c r="E102" s="15" t="s">
        <v>254</v>
      </c>
      <c r="F102" s="16">
        <f t="shared" si="10"/>
        <v>311.8</v>
      </c>
      <c r="G102" s="15" t="s">
        <v>48</v>
      </c>
      <c r="H102" s="17">
        <v>6.57</v>
      </c>
      <c r="I102" s="17">
        <f t="shared" si="11"/>
        <v>5.922855</v>
      </c>
      <c r="J102" s="24">
        <f t="shared" si="14"/>
        <v>5.55</v>
      </c>
      <c r="K102" s="25">
        <v>0.0985</v>
      </c>
      <c r="L102" s="26">
        <v>0.25</v>
      </c>
      <c r="M102" s="24">
        <f t="shared" si="15"/>
        <v>7.4</v>
      </c>
      <c r="N102" s="27">
        <f t="shared" si="12"/>
        <v>2307.32</v>
      </c>
      <c r="O102" s="15"/>
      <c r="P102" s="15" t="s">
        <v>68</v>
      </c>
      <c r="Q102" s="15" t="s">
        <v>239</v>
      </c>
      <c r="R102" s="15" t="s">
        <v>32</v>
      </c>
      <c r="S102" s="15" t="s">
        <v>21</v>
      </c>
      <c r="T102" s="16">
        <v>311.8</v>
      </c>
      <c r="U102" s="17">
        <f t="shared" si="13"/>
        <v>2307.32</v>
      </c>
    </row>
    <row r="103" ht="51" customHeight="1" spans="1:21">
      <c r="A103" s="14" t="s">
        <v>26</v>
      </c>
      <c r="B103" s="15" t="s">
        <v>255</v>
      </c>
      <c r="C103" s="15" t="s">
        <v>28</v>
      </c>
      <c r="D103" s="15" t="s">
        <v>247</v>
      </c>
      <c r="E103" s="15" t="s">
        <v>248</v>
      </c>
      <c r="F103" s="16">
        <f t="shared" si="10"/>
        <v>62.95</v>
      </c>
      <c r="G103" s="15" t="s">
        <v>31</v>
      </c>
      <c r="H103" s="17">
        <v>75.1</v>
      </c>
      <c r="I103" s="17">
        <f t="shared" si="11"/>
        <v>67.68763</v>
      </c>
      <c r="J103" s="24">
        <f t="shared" si="14"/>
        <v>63.459375</v>
      </c>
      <c r="K103" s="25">
        <v>0.0987</v>
      </c>
      <c r="L103" s="26">
        <v>0.25</v>
      </c>
      <c r="M103" s="24">
        <f t="shared" si="15"/>
        <v>84.6125</v>
      </c>
      <c r="N103" s="27">
        <f t="shared" si="12"/>
        <v>5326.2</v>
      </c>
      <c r="O103" s="15"/>
      <c r="P103" s="15" t="s">
        <v>68</v>
      </c>
      <c r="Q103" s="15" t="s">
        <v>239</v>
      </c>
      <c r="R103" s="15" t="s">
        <v>32</v>
      </c>
      <c r="S103" s="15" t="s">
        <v>21</v>
      </c>
      <c r="T103" s="16">
        <v>62.95</v>
      </c>
      <c r="U103" s="17">
        <f t="shared" si="13"/>
        <v>5326.1995</v>
      </c>
    </row>
    <row r="104" ht="45" customHeight="1" spans="1:21">
      <c r="A104" s="14" t="s">
        <v>26</v>
      </c>
      <c r="B104" s="15" t="s">
        <v>256</v>
      </c>
      <c r="C104" s="15" t="s">
        <v>28</v>
      </c>
      <c r="D104" s="15" t="s">
        <v>257</v>
      </c>
      <c r="E104" s="15" t="s">
        <v>258</v>
      </c>
      <c r="F104" s="16">
        <f t="shared" si="10"/>
        <v>8.06</v>
      </c>
      <c r="G104" s="15" t="s">
        <v>31</v>
      </c>
      <c r="H104" s="17">
        <v>660.73</v>
      </c>
      <c r="I104" s="17">
        <f t="shared" si="11"/>
        <v>595.6216658</v>
      </c>
      <c r="J104" s="24">
        <f t="shared" si="14"/>
        <v>558.39375</v>
      </c>
      <c r="K104" s="25">
        <v>0.09854</v>
      </c>
      <c r="L104" s="26">
        <v>0.25</v>
      </c>
      <c r="M104" s="24">
        <f t="shared" si="15"/>
        <v>744.525</v>
      </c>
      <c r="N104" s="27">
        <f t="shared" si="12"/>
        <v>6000.91</v>
      </c>
      <c r="O104" s="15"/>
      <c r="P104" s="15" t="s">
        <v>68</v>
      </c>
      <c r="Q104" s="15" t="s">
        <v>239</v>
      </c>
      <c r="R104" s="15" t="s">
        <v>32</v>
      </c>
      <c r="S104" s="15" t="s">
        <v>21</v>
      </c>
      <c r="T104" s="16">
        <v>8.06</v>
      </c>
      <c r="U104" s="17">
        <f t="shared" si="13"/>
        <v>6000.9118</v>
      </c>
    </row>
    <row r="105" ht="45" customHeight="1" spans="1:21">
      <c r="A105" s="14" t="s">
        <v>26</v>
      </c>
      <c r="B105" s="15" t="s">
        <v>259</v>
      </c>
      <c r="C105" s="15" t="s">
        <v>42</v>
      </c>
      <c r="D105" s="15" t="s">
        <v>260</v>
      </c>
      <c r="E105" s="15" t="s">
        <v>261</v>
      </c>
      <c r="F105" s="16">
        <f t="shared" si="10"/>
        <v>7.2</v>
      </c>
      <c r="G105" s="15" t="s">
        <v>31</v>
      </c>
      <c r="H105" s="17">
        <v>318.17</v>
      </c>
      <c r="I105" s="17">
        <f t="shared" si="11"/>
        <v>286.830255</v>
      </c>
      <c r="J105" s="24">
        <f t="shared" si="14"/>
        <v>268.8975</v>
      </c>
      <c r="K105" s="25">
        <v>0.0985</v>
      </c>
      <c r="L105" s="26">
        <v>0.25</v>
      </c>
      <c r="M105" s="24">
        <v>358.53</v>
      </c>
      <c r="N105" s="27">
        <f t="shared" si="12"/>
        <v>2581.42</v>
      </c>
      <c r="O105" s="15"/>
      <c r="P105" s="15" t="s">
        <v>68</v>
      </c>
      <c r="Q105" s="15" t="s">
        <v>239</v>
      </c>
      <c r="R105" s="15" t="s">
        <v>32</v>
      </c>
      <c r="S105" s="15" t="s">
        <v>21</v>
      </c>
      <c r="T105" s="16">
        <v>7.2</v>
      </c>
      <c r="U105" s="17">
        <f t="shared" si="13"/>
        <v>2581.416</v>
      </c>
    </row>
    <row r="106" ht="45" customHeight="1" spans="1:21">
      <c r="A106" s="14" t="s">
        <v>26</v>
      </c>
      <c r="B106" s="15" t="s">
        <v>262</v>
      </c>
      <c r="C106" s="15" t="s">
        <v>28</v>
      </c>
      <c r="D106" s="15" t="s">
        <v>263</v>
      </c>
      <c r="E106" s="15" t="s">
        <v>264</v>
      </c>
      <c r="F106" s="16">
        <f t="shared" si="10"/>
        <v>3.6</v>
      </c>
      <c r="G106" s="15" t="s">
        <v>31</v>
      </c>
      <c r="H106" s="17">
        <v>61.7</v>
      </c>
      <c r="I106" s="17">
        <f t="shared" si="11"/>
        <v>55.62255</v>
      </c>
      <c r="J106" s="24">
        <f t="shared" si="14"/>
        <v>52.14375</v>
      </c>
      <c r="K106" s="25">
        <v>0.0985</v>
      </c>
      <c r="L106" s="26">
        <v>0.25</v>
      </c>
      <c r="M106" s="24">
        <f>ROUND(I106,2)+(ROUND(I106,2)*L106)</f>
        <v>69.525</v>
      </c>
      <c r="N106" s="27">
        <f t="shared" si="12"/>
        <v>250.31</v>
      </c>
      <c r="O106" s="15"/>
      <c r="P106" s="15" t="s">
        <v>68</v>
      </c>
      <c r="Q106" s="15" t="s">
        <v>239</v>
      </c>
      <c r="R106" s="15" t="s">
        <v>32</v>
      </c>
      <c r="S106" s="15" t="s">
        <v>21</v>
      </c>
      <c r="T106" s="16">
        <v>3.6</v>
      </c>
      <c r="U106" s="17">
        <f t="shared" si="13"/>
        <v>250.308</v>
      </c>
    </row>
    <row r="107" ht="58.5" customHeight="1" spans="1:21">
      <c r="A107" s="14" t="s">
        <v>26</v>
      </c>
      <c r="B107" s="15" t="s">
        <v>265</v>
      </c>
      <c r="C107" s="15" t="s">
        <v>42</v>
      </c>
      <c r="D107" s="15" t="s">
        <v>266</v>
      </c>
      <c r="E107" s="15" t="s">
        <v>267</v>
      </c>
      <c r="F107" s="16">
        <f t="shared" si="10"/>
        <v>6</v>
      </c>
      <c r="G107" s="15" t="s">
        <v>40</v>
      </c>
      <c r="H107" s="17">
        <v>987.08</v>
      </c>
      <c r="I107" s="17">
        <f t="shared" si="11"/>
        <v>889.85262</v>
      </c>
      <c r="J107" s="24">
        <f t="shared" si="14"/>
        <v>834.234375</v>
      </c>
      <c r="K107" s="25">
        <v>0.0985</v>
      </c>
      <c r="L107" s="26">
        <v>0.25</v>
      </c>
      <c r="M107" s="24">
        <f>ROUND(I107,2)+(ROUND(I107,2)*L107)</f>
        <v>1112.3125</v>
      </c>
      <c r="N107" s="27">
        <f t="shared" si="12"/>
        <v>6673.86</v>
      </c>
      <c r="O107" s="15"/>
      <c r="P107" s="15" t="s">
        <v>70</v>
      </c>
      <c r="Q107" s="15" t="s">
        <v>268</v>
      </c>
      <c r="R107" s="15" t="s">
        <v>32</v>
      </c>
      <c r="S107" s="15" t="s">
        <v>21</v>
      </c>
      <c r="T107" s="16">
        <v>6</v>
      </c>
      <c r="U107" s="17">
        <f t="shared" si="13"/>
        <v>6673.86</v>
      </c>
    </row>
    <row r="108" ht="66" customHeight="1" spans="1:21">
      <c r="A108" s="14" t="s">
        <v>26</v>
      </c>
      <c r="B108" s="15" t="s">
        <v>269</v>
      </c>
      <c r="C108" s="15" t="s">
        <v>42</v>
      </c>
      <c r="D108" s="15" t="s">
        <v>270</v>
      </c>
      <c r="E108" s="15" t="s">
        <v>271</v>
      </c>
      <c r="F108" s="16">
        <f t="shared" si="10"/>
        <v>3</v>
      </c>
      <c r="G108" s="15" t="s">
        <v>40</v>
      </c>
      <c r="H108" s="17">
        <v>1799.16</v>
      </c>
      <c r="I108" s="17">
        <f t="shared" si="11"/>
        <v>1621.94274</v>
      </c>
      <c r="J108" s="24">
        <f t="shared" si="14"/>
        <v>1520.565</v>
      </c>
      <c r="K108" s="25">
        <v>0.0985</v>
      </c>
      <c r="L108" s="26">
        <v>0.25</v>
      </c>
      <c r="M108" s="24">
        <v>2027.42</v>
      </c>
      <c r="N108" s="27">
        <f t="shared" si="12"/>
        <v>6082.26</v>
      </c>
      <c r="O108" s="15"/>
      <c r="P108" s="15" t="s">
        <v>70</v>
      </c>
      <c r="Q108" s="15" t="s">
        <v>268</v>
      </c>
      <c r="R108" s="15" t="s">
        <v>32</v>
      </c>
      <c r="S108" s="15" t="s">
        <v>21</v>
      </c>
      <c r="T108" s="16">
        <v>3</v>
      </c>
      <c r="U108" s="17">
        <f t="shared" si="13"/>
        <v>6082.26</v>
      </c>
    </row>
    <row r="109" ht="71.25" customHeight="1" spans="1:21">
      <c r="A109" s="14" t="s">
        <v>26</v>
      </c>
      <c r="B109" s="15" t="s">
        <v>272</v>
      </c>
      <c r="C109" s="15" t="s">
        <v>42</v>
      </c>
      <c r="D109" s="15" t="s">
        <v>273</v>
      </c>
      <c r="E109" s="15" t="s">
        <v>274</v>
      </c>
      <c r="F109" s="16">
        <f t="shared" si="10"/>
        <v>6</v>
      </c>
      <c r="G109" s="15" t="s">
        <v>40</v>
      </c>
      <c r="H109" s="17">
        <v>1079.97</v>
      </c>
      <c r="I109" s="17">
        <f t="shared" si="11"/>
        <v>973.592955</v>
      </c>
      <c r="J109" s="24">
        <f t="shared" si="14"/>
        <v>912.735</v>
      </c>
      <c r="K109" s="25">
        <v>0.0985</v>
      </c>
      <c r="L109" s="26">
        <v>0.25</v>
      </c>
      <c r="M109" s="24">
        <v>1216.98</v>
      </c>
      <c r="N109" s="27">
        <f t="shared" si="12"/>
        <v>7301.88</v>
      </c>
      <c r="O109" s="15"/>
      <c r="P109" s="15" t="s">
        <v>70</v>
      </c>
      <c r="Q109" s="15" t="s">
        <v>268</v>
      </c>
      <c r="R109" s="15" t="s">
        <v>32</v>
      </c>
      <c r="S109" s="15" t="s">
        <v>21</v>
      </c>
      <c r="T109" s="16">
        <v>6</v>
      </c>
      <c r="U109" s="17">
        <f t="shared" si="13"/>
        <v>7301.88</v>
      </c>
    </row>
    <row r="110" ht="65.25" customHeight="1" spans="1:21">
      <c r="A110" s="14" t="s">
        <v>26</v>
      </c>
      <c r="B110" s="15" t="s">
        <v>275</v>
      </c>
      <c r="C110" s="15" t="s">
        <v>42</v>
      </c>
      <c r="D110" s="15" t="s">
        <v>276</v>
      </c>
      <c r="E110" s="15" t="s">
        <v>277</v>
      </c>
      <c r="F110" s="16">
        <f t="shared" si="10"/>
        <v>3</v>
      </c>
      <c r="G110" s="15" t="s">
        <v>40</v>
      </c>
      <c r="H110" s="17">
        <v>1079.97</v>
      </c>
      <c r="I110" s="17">
        <f t="shared" si="11"/>
        <v>973.592955</v>
      </c>
      <c r="J110" s="24">
        <f t="shared" si="14"/>
        <v>912.735</v>
      </c>
      <c r="K110" s="25">
        <v>0.0985</v>
      </c>
      <c r="L110" s="26">
        <v>0.25</v>
      </c>
      <c r="M110" s="24">
        <v>1216.98</v>
      </c>
      <c r="N110" s="27">
        <f t="shared" si="12"/>
        <v>3650.94</v>
      </c>
      <c r="O110" s="15"/>
      <c r="P110" s="15" t="s">
        <v>70</v>
      </c>
      <c r="Q110" s="15" t="s">
        <v>268</v>
      </c>
      <c r="R110" s="15" t="s">
        <v>32</v>
      </c>
      <c r="S110" s="15" t="s">
        <v>21</v>
      </c>
      <c r="T110" s="16">
        <v>3</v>
      </c>
      <c r="U110" s="17">
        <f t="shared" si="13"/>
        <v>3650.94</v>
      </c>
    </row>
    <row r="111" ht="60" customHeight="1" spans="1:21">
      <c r="A111" s="14" t="s">
        <v>26</v>
      </c>
      <c r="B111" s="15" t="s">
        <v>278</v>
      </c>
      <c r="C111" s="15" t="s">
        <v>42</v>
      </c>
      <c r="D111" s="15" t="s">
        <v>279</v>
      </c>
      <c r="E111" s="15" t="s">
        <v>280</v>
      </c>
      <c r="F111" s="16">
        <f t="shared" si="10"/>
        <v>5</v>
      </c>
      <c r="G111" s="15" t="s">
        <v>40</v>
      </c>
      <c r="H111" s="17">
        <v>1799.16</v>
      </c>
      <c r="I111" s="17">
        <f t="shared" si="11"/>
        <v>1621.94274</v>
      </c>
      <c r="J111" s="24">
        <f t="shared" si="14"/>
        <v>1520.565</v>
      </c>
      <c r="K111" s="25">
        <v>0.0985</v>
      </c>
      <c r="L111" s="26">
        <v>0.25</v>
      </c>
      <c r="M111" s="24">
        <v>2027.42</v>
      </c>
      <c r="N111" s="27">
        <f t="shared" si="12"/>
        <v>10137.1</v>
      </c>
      <c r="O111" s="15"/>
      <c r="P111" s="15" t="s">
        <v>70</v>
      </c>
      <c r="Q111" s="15" t="s">
        <v>268</v>
      </c>
      <c r="R111" s="15" t="s">
        <v>32</v>
      </c>
      <c r="S111" s="15" t="s">
        <v>21</v>
      </c>
      <c r="T111" s="16">
        <v>5</v>
      </c>
      <c r="U111" s="17">
        <f t="shared" si="13"/>
        <v>10137.1</v>
      </c>
    </row>
    <row r="112" ht="45" customHeight="1" spans="1:21">
      <c r="A112" s="14" t="s">
        <v>26</v>
      </c>
      <c r="B112" s="15" t="s">
        <v>281</v>
      </c>
      <c r="C112" s="15" t="s">
        <v>42</v>
      </c>
      <c r="D112" s="15" t="s">
        <v>282</v>
      </c>
      <c r="E112" s="15" t="s">
        <v>283</v>
      </c>
      <c r="F112" s="16">
        <f t="shared" si="10"/>
        <v>4</v>
      </c>
      <c r="G112" s="15" t="s">
        <v>40</v>
      </c>
      <c r="H112" s="17">
        <v>996.57</v>
      </c>
      <c r="I112" s="17">
        <f t="shared" si="11"/>
        <v>898.407855</v>
      </c>
      <c r="J112" s="24">
        <f t="shared" si="14"/>
        <v>842.25</v>
      </c>
      <c r="K112" s="25">
        <v>0.0985</v>
      </c>
      <c r="L112" s="26">
        <v>0.25</v>
      </c>
      <c r="M112" s="24">
        <v>1123</v>
      </c>
      <c r="N112" s="27">
        <f t="shared" si="12"/>
        <v>4492</v>
      </c>
      <c r="O112" s="15"/>
      <c r="P112" s="15" t="s">
        <v>70</v>
      </c>
      <c r="Q112" s="15" t="s">
        <v>268</v>
      </c>
      <c r="R112" s="15" t="s">
        <v>32</v>
      </c>
      <c r="S112" s="15" t="s">
        <v>21</v>
      </c>
      <c r="T112" s="16">
        <v>4</v>
      </c>
      <c r="U112" s="17">
        <f t="shared" si="13"/>
        <v>4492</v>
      </c>
    </row>
    <row r="113" ht="45" customHeight="1" spans="1:21">
      <c r="A113" s="14" t="s">
        <v>26</v>
      </c>
      <c r="B113" s="15" t="s">
        <v>284</v>
      </c>
      <c r="C113" s="15" t="s">
        <v>42</v>
      </c>
      <c r="D113" s="15" t="s">
        <v>285</v>
      </c>
      <c r="E113" s="15" t="s">
        <v>286</v>
      </c>
      <c r="F113" s="16">
        <f t="shared" si="10"/>
        <v>1.8</v>
      </c>
      <c r="G113" s="15" t="s">
        <v>31</v>
      </c>
      <c r="H113" s="17">
        <v>197.74</v>
      </c>
      <c r="I113" s="17">
        <f t="shared" si="11"/>
        <v>178.26261</v>
      </c>
      <c r="J113" s="24">
        <f t="shared" si="14"/>
        <v>167.11875</v>
      </c>
      <c r="K113" s="25">
        <v>0.0985</v>
      </c>
      <c r="L113" s="26">
        <v>0.25</v>
      </c>
      <c r="M113" s="24">
        <f>ROUND(I113,2)+(ROUND(I113,2)*L113)</f>
        <v>222.825</v>
      </c>
      <c r="N113" s="27">
        <f t="shared" si="12"/>
        <v>401.09</v>
      </c>
      <c r="O113" s="15"/>
      <c r="P113" s="15" t="s">
        <v>70</v>
      </c>
      <c r="Q113" s="15" t="s">
        <v>268</v>
      </c>
      <c r="R113" s="15" t="s">
        <v>32</v>
      </c>
      <c r="S113" s="15" t="s">
        <v>21</v>
      </c>
      <c r="T113" s="16">
        <v>1.8</v>
      </c>
      <c r="U113" s="17">
        <f t="shared" si="13"/>
        <v>401.094</v>
      </c>
    </row>
    <row r="114" ht="45" customHeight="1" spans="1:21">
      <c r="A114" s="14" t="s">
        <v>26</v>
      </c>
      <c r="B114" s="15" t="s">
        <v>287</v>
      </c>
      <c r="C114" s="15" t="s">
        <v>28</v>
      </c>
      <c r="D114" s="15" t="s">
        <v>288</v>
      </c>
      <c r="E114" s="15" t="s">
        <v>289</v>
      </c>
      <c r="F114" s="16">
        <f t="shared" si="10"/>
        <v>4</v>
      </c>
      <c r="G114" s="15" t="s">
        <v>40</v>
      </c>
      <c r="H114" s="17">
        <v>84.5</v>
      </c>
      <c r="I114" s="17">
        <f t="shared" si="11"/>
        <v>76.17675</v>
      </c>
      <c r="J114" s="24">
        <f t="shared" si="14"/>
        <v>71.3925</v>
      </c>
      <c r="K114" s="25">
        <v>0.0985</v>
      </c>
      <c r="L114" s="26">
        <v>0.25</v>
      </c>
      <c r="M114" s="24">
        <v>95.19</v>
      </c>
      <c r="N114" s="27">
        <f t="shared" si="12"/>
        <v>380.76</v>
      </c>
      <c r="O114" s="15"/>
      <c r="P114" s="15" t="s">
        <v>70</v>
      </c>
      <c r="Q114" s="15" t="s">
        <v>268</v>
      </c>
      <c r="R114" s="15" t="s">
        <v>32</v>
      </c>
      <c r="S114" s="15" t="s">
        <v>21</v>
      </c>
      <c r="T114" s="16">
        <v>4</v>
      </c>
      <c r="U114" s="17">
        <f t="shared" si="13"/>
        <v>380.76</v>
      </c>
    </row>
    <row r="115" ht="45" customHeight="1" spans="1:21">
      <c r="A115" s="14" t="s">
        <v>26</v>
      </c>
      <c r="B115" s="15" t="s">
        <v>290</v>
      </c>
      <c r="C115" s="15" t="s">
        <v>28</v>
      </c>
      <c r="D115" s="15" t="s">
        <v>291</v>
      </c>
      <c r="E115" s="15" t="s">
        <v>292</v>
      </c>
      <c r="F115" s="16">
        <f t="shared" si="10"/>
        <v>8</v>
      </c>
      <c r="G115" s="15" t="s">
        <v>40</v>
      </c>
      <c r="H115" s="17">
        <v>353.02</v>
      </c>
      <c r="I115" s="17">
        <f t="shared" si="11"/>
        <v>318.24753</v>
      </c>
      <c r="J115" s="24">
        <f t="shared" si="14"/>
        <v>298.359375</v>
      </c>
      <c r="K115" s="25">
        <v>0.0985</v>
      </c>
      <c r="L115" s="26">
        <v>0.25</v>
      </c>
      <c r="M115" s="24">
        <f>ROUND(I115,2)+(ROUND(I115,2)*L115)</f>
        <v>397.8125</v>
      </c>
      <c r="N115" s="27">
        <f t="shared" si="12"/>
        <v>3182.48</v>
      </c>
      <c r="O115" s="15"/>
      <c r="P115" s="15" t="s">
        <v>70</v>
      </c>
      <c r="Q115" s="15" t="s">
        <v>268</v>
      </c>
      <c r="R115" s="15" t="s">
        <v>32</v>
      </c>
      <c r="S115" s="15" t="s">
        <v>21</v>
      </c>
      <c r="T115" s="16">
        <v>8</v>
      </c>
      <c r="U115" s="17">
        <f t="shared" si="13"/>
        <v>3182.48</v>
      </c>
    </row>
    <row r="116" ht="45" customHeight="1" spans="1:21">
      <c r="A116" s="14" t="s">
        <v>26</v>
      </c>
      <c r="B116" s="15" t="s">
        <v>293</v>
      </c>
      <c r="C116" s="15" t="s">
        <v>42</v>
      </c>
      <c r="D116" s="15" t="s">
        <v>294</v>
      </c>
      <c r="E116" s="15" t="s">
        <v>295</v>
      </c>
      <c r="F116" s="16">
        <f t="shared" si="10"/>
        <v>12.8</v>
      </c>
      <c r="G116" s="15" t="s">
        <v>31</v>
      </c>
      <c r="H116" s="17">
        <v>190.26</v>
      </c>
      <c r="I116" s="17">
        <f t="shared" si="11"/>
        <v>171.51939</v>
      </c>
      <c r="J116" s="24">
        <f t="shared" si="14"/>
        <v>160.8</v>
      </c>
      <c r="K116" s="25">
        <v>0.0985</v>
      </c>
      <c r="L116" s="26">
        <v>0.25</v>
      </c>
      <c r="M116" s="24">
        <f>ROUND(I116,2)+(ROUND(I116,2)*L116)</f>
        <v>214.4</v>
      </c>
      <c r="N116" s="27">
        <f t="shared" si="12"/>
        <v>2744.32</v>
      </c>
      <c r="O116" s="15"/>
      <c r="P116" s="15" t="s">
        <v>70</v>
      </c>
      <c r="Q116" s="15" t="s">
        <v>268</v>
      </c>
      <c r="R116" s="15" t="s">
        <v>32</v>
      </c>
      <c r="S116" s="15" t="s">
        <v>21</v>
      </c>
      <c r="T116" s="16">
        <v>12.8</v>
      </c>
      <c r="U116" s="17">
        <f t="shared" si="13"/>
        <v>2744.32</v>
      </c>
    </row>
    <row r="117" ht="45" customHeight="1" spans="1:21">
      <c r="A117" s="14" t="s">
        <v>26</v>
      </c>
      <c r="B117" s="15" t="s">
        <v>296</v>
      </c>
      <c r="C117" s="15" t="s">
        <v>42</v>
      </c>
      <c r="D117" s="15" t="s">
        <v>297</v>
      </c>
      <c r="E117" s="15" t="s">
        <v>298</v>
      </c>
      <c r="F117" s="16">
        <f t="shared" si="10"/>
        <v>1</v>
      </c>
      <c r="G117" s="15" t="s">
        <v>40</v>
      </c>
      <c r="H117" s="17">
        <v>837.12</v>
      </c>
      <c r="I117" s="17">
        <f t="shared" si="11"/>
        <v>754.66368</v>
      </c>
      <c r="J117" s="24">
        <f t="shared" si="14"/>
        <v>707.49</v>
      </c>
      <c r="K117" s="25">
        <v>0.0985</v>
      </c>
      <c r="L117" s="26">
        <v>0.25</v>
      </c>
      <c r="M117" s="24">
        <v>943.32</v>
      </c>
      <c r="N117" s="27">
        <f t="shared" si="12"/>
        <v>943.32</v>
      </c>
      <c r="O117" s="15"/>
      <c r="P117" s="15" t="s">
        <v>70</v>
      </c>
      <c r="Q117" s="15" t="s">
        <v>268</v>
      </c>
      <c r="R117" s="15" t="s">
        <v>32</v>
      </c>
      <c r="S117" s="15" t="s">
        <v>21</v>
      </c>
      <c r="T117" s="16">
        <v>1</v>
      </c>
      <c r="U117" s="17">
        <f t="shared" si="13"/>
        <v>943.32</v>
      </c>
    </row>
    <row r="118" ht="54" customHeight="1" spans="1:21">
      <c r="A118" s="14" t="s">
        <v>26</v>
      </c>
      <c r="B118" s="15" t="s">
        <v>299</v>
      </c>
      <c r="C118" s="15" t="s">
        <v>42</v>
      </c>
      <c r="D118" s="15" t="s">
        <v>300</v>
      </c>
      <c r="E118" s="15" t="s">
        <v>301</v>
      </c>
      <c r="F118" s="16">
        <f t="shared" si="10"/>
        <v>1.68</v>
      </c>
      <c r="G118" s="15" t="s">
        <v>31</v>
      </c>
      <c r="H118" s="17">
        <v>646.07</v>
      </c>
      <c r="I118" s="17">
        <f t="shared" si="11"/>
        <v>582.432105</v>
      </c>
      <c r="J118" s="24">
        <f t="shared" si="14"/>
        <v>546.028125</v>
      </c>
      <c r="K118" s="25">
        <v>0.0985</v>
      </c>
      <c r="L118" s="26">
        <v>0.25</v>
      </c>
      <c r="M118" s="24">
        <f t="shared" ref="M118:M123" si="16">ROUND(I118,2)+(ROUND(I118,2)*L118)</f>
        <v>728.0375</v>
      </c>
      <c r="N118" s="27">
        <f t="shared" si="12"/>
        <v>1223.11</v>
      </c>
      <c r="O118" s="15"/>
      <c r="P118" s="15" t="s">
        <v>70</v>
      </c>
      <c r="Q118" s="15" t="s">
        <v>268</v>
      </c>
      <c r="R118" s="15" t="s">
        <v>32</v>
      </c>
      <c r="S118" s="15" t="s">
        <v>21</v>
      </c>
      <c r="T118" s="16">
        <v>1.68</v>
      </c>
      <c r="U118" s="17">
        <f t="shared" si="13"/>
        <v>1223.1072</v>
      </c>
    </row>
    <row r="119" ht="52.5" customHeight="1" spans="1:21">
      <c r="A119" s="14" t="s">
        <v>26</v>
      </c>
      <c r="B119" s="15" t="s">
        <v>302</v>
      </c>
      <c r="C119" s="15" t="s">
        <v>42</v>
      </c>
      <c r="D119" s="15" t="s">
        <v>303</v>
      </c>
      <c r="E119" s="15" t="s">
        <v>304</v>
      </c>
      <c r="F119" s="16">
        <f t="shared" si="10"/>
        <v>3.36</v>
      </c>
      <c r="G119" s="15" t="s">
        <v>31</v>
      </c>
      <c r="H119" s="17">
        <v>646.07</v>
      </c>
      <c r="I119" s="17">
        <f t="shared" si="11"/>
        <v>582.432105</v>
      </c>
      <c r="J119" s="24">
        <f t="shared" si="14"/>
        <v>546.028125</v>
      </c>
      <c r="K119" s="25">
        <v>0.0985</v>
      </c>
      <c r="L119" s="26">
        <v>0.25</v>
      </c>
      <c r="M119" s="24">
        <f t="shared" si="16"/>
        <v>728.0375</v>
      </c>
      <c r="N119" s="27">
        <f t="shared" si="12"/>
        <v>2446.21</v>
      </c>
      <c r="O119" s="15"/>
      <c r="P119" s="15" t="s">
        <v>70</v>
      </c>
      <c r="Q119" s="15" t="s">
        <v>268</v>
      </c>
      <c r="R119" s="15" t="s">
        <v>32</v>
      </c>
      <c r="S119" s="15" t="s">
        <v>21</v>
      </c>
      <c r="T119" s="16">
        <v>3.36</v>
      </c>
      <c r="U119" s="17">
        <f t="shared" si="13"/>
        <v>2446.2144</v>
      </c>
    </row>
    <row r="120" ht="54.75" customHeight="1" spans="1:21">
      <c r="A120" s="14" t="s">
        <v>26</v>
      </c>
      <c r="B120" s="15" t="s">
        <v>305</v>
      </c>
      <c r="C120" s="15" t="s">
        <v>42</v>
      </c>
      <c r="D120" s="15" t="s">
        <v>306</v>
      </c>
      <c r="E120" s="15" t="s">
        <v>307</v>
      </c>
      <c r="F120" s="16">
        <f t="shared" si="10"/>
        <v>83.48</v>
      </c>
      <c r="G120" s="15" t="s">
        <v>31</v>
      </c>
      <c r="H120" s="17">
        <v>464.84</v>
      </c>
      <c r="I120" s="17">
        <f t="shared" si="11"/>
        <v>419.05326</v>
      </c>
      <c r="J120" s="24">
        <f t="shared" si="14"/>
        <v>392.859375</v>
      </c>
      <c r="K120" s="25">
        <v>0.0985</v>
      </c>
      <c r="L120" s="26">
        <v>0.25</v>
      </c>
      <c r="M120" s="24">
        <f t="shared" si="16"/>
        <v>523.8125</v>
      </c>
      <c r="N120" s="27">
        <f t="shared" si="12"/>
        <v>43727.66</v>
      </c>
      <c r="O120" s="15"/>
      <c r="P120" s="15" t="s">
        <v>70</v>
      </c>
      <c r="Q120" s="15" t="s">
        <v>268</v>
      </c>
      <c r="R120" s="15" t="s">
        <v>32</v>
      </c>
      <c r="S120" s="15" t="s">
        <v>21</v>
      </c>
      <c r="T120" s="16">
        <v>83.48</v>
      </c>
      <c r="U120" s="17">
        <f t="shared" si="13"/>
        <v>43727.6588</v>
      </c>
    </row>
    <row r="121" ht="51" customHeight="1" spans="1:21">
      <c r="A121" s="14" t="s">
        <v>26</v>
      </c>
      <c r="B121" s="15" t="s">
        <v>308</v>
      </c>
      <c r="C121" s="15" t="s">
        <v>42</v>
      </c>
      <c r="D121" s="15" t="s">
        <v>309</v>
      </c>
      <c r="E121" s="15" t="s">
        <v>310</v>
      </c>
      <c r="F121" s="16">
        <f t="shared" si="10"/>
        <v>2.04</v>
      </c>
      <c r="G121" s="15" t="s">
        <v>31</v>
      </c>
      <c r="H121" s="17">
        <v>646.07</v>
      </c>
      <c r="I121" s="17">
        <f t="shared" si="11"/>
        <v>582.432105</v>
      </c>
      <c r="J121" s="24">
        <f t="shared" si="14"/>
        <v>546.028125</v>
      </c>
      <c r="K121" s="25">
        <v>0.0985</v>
      </c>
      <c r="L121" s="26">
        <v>0.25</v>
      </c>
      <c r="M121" s="24">
        <f t="shared" si="16"/>
        <v>728.0375</v>
      </c>
      <c r="N121" s="27">
        <f t="shared" si="12"/>
        <v>1485.2</v>
      </c>
      <c r="O121" s="15"/>
      <c r="P121" s="15" t="s">
        <v>70</v>
      </c>
      <c r="Q121" s="15" t="s">
        <v>268</v>
      </c>
      <c r="R121" s="15" t="s">
        <v>32</v>
      </c>
      <c r="S121" s="15" t="s">
        <v>21</v>
      </c>
      <c r="T121" s="16">
        <v>2.04</v>
      </c>
      <c r="U121" s="17">
        <f t="shared" si="13"/>
        <v>1485.2016</v>
      </c>
    </row>
    <row r="122" ht="57.75" customHeight="1" spans="1:21">
      <c r="A122" s="14" t="s">
        <v>26</v>
      </c>
      <c r="B122" s="15" t="s">
        <v>311</v>
      </c>
      <c r="C122" s="15" t="s">
        <v>42</v>
      </c>
      <c r="D122" s="15" t="s">
        <v>312</v>
      </c>
      <c r="E122" s="15" t="s">
        <v>313</v>
      </c>
      <c r="F122" s="16">
        <f t="shared" si="10"/>
        <v>0.88</v>
      </c>
      <c r="G122" s="15" t="s">
        <v>31</v>
      </c>
      <c r="H122" s="17">
        <v>634.72</v>
      </c>
      <c r="I122" s="17">
        <f t="shared" si="11"/>
        <v>572.20008</v>
      </c>
      <c r="J122" s="24">
        <f t="shared" si="14"/>
        <v>536.4375</v>
      </c>
      <c r="K122" s="25">
        <v>0.0985</v>
      </c>
      <c r="L122" s="26">
        <v>0.25</v>
      </c>
      <c r="M122" s="24">
        <f t="shared" si="16"/>
        <v>715.25</v>
      </c>
      <c r="N122" s="27">
        <f t="shared" si="12"/>
        <v>629.42</v>
      </c>
      <c r="O122" s="15"/>
      <c r="P122" s="15" t="s">
        <v>70</v>
      </c>
      <c r="Q122" s="15" t="s">
        <v>268</v>
      </c>
      <c r="R122" s="15" t="s">
        <v>32</v>
      </c>
      <c r="S122" s="15" t="s">
        <v>21</v>
      </c>
      <c r="T122" s="16">
        <v>0.88</v>
      </c>
      <c r="U122" s="17">
        <f t="shared" si="13"/>
        <v>629.42</v>
      </c>
    </row>
    <row r="123" ht="52.5" customHeight="1" spans="1:21">
      <c r="A123" s="14" t="s">
        <v>26</v>
      </c>
      <c r="B123" s="15" t="s">
        <v>314</v>
      </c>
      <c r="C123" s="15" t="s">
        <v>42</v>
      </c>
      <c r="D123" s="15" t="s">
        <v>315</v>
      </c>
      <c r="E123" s="15" t="s">
        <v>316</v>
      </c>
      <c r="F123" s="16">
        <f t="shared" si="10"/>
        <v>2.15</v>
      </c>
      <c r="G123" s="15" t="s">
        <v>31</v>
      </c>
      <c r="H123" s="17">
        <v>634.72</v>
      </c>
      <c r="I123" s="17">
        <f t="shared" si="11"/>
        <v>572.20008</v>
      </c>
      <c r="J123" s="24">
        <f t="shared" si="14"/>
        <v>536.4375</v>
      </c>
      <c r="K123" s="25">
        <v>0.0985</v>
      </c>
      <c r="L123" s="26">
        <v>0.25</v>
      </c>
      <c r="M123" s="24">
        <f t="shared" si="16"/>
        <v>715.25</v>
      </c>
      <c r="N123" s="27">
        <f t="shared" si="12"/>
        <v>1537.79</v>
      </c>
      <c r="O123" s="15"/>
      <c r="P123" s="15" t="s">
        <v>70</v>
      </c>
      <c r="Q123" s="15" t="s">
        <v>268</v>
      </c>
      <c r="R123" s="15" t="s">
        <v>32</v>
      </c>
      <c r="S123" s="15" t="s">
        <v>21</v>
      </c>
      <c r="T123" s="16">
        <v>2.15</v>
      </c>
      <c r="U123" s="17">
        <f t="shared" si="13"/>
        <v>1537.7875</v>
      </c>
    </row>
    <row r="124" ht="56.25" customHeight="1" spans="1:21">
      <c r="A124" s="14" t="s">
        <v>26</v>
      </c>
      <c r="B124" s="15" t="s">
        <v>317</v>
      </c>
      <c r="C124" s="15" t="s">
        <v>42</v>
      </c>
      <c r="D124" s="15" t="s">
        <v>318</v>
      </c>
      <c r="E124" s="15" t="s">
        <v>319</v>
      </c>
      <c r="F124" s="16">
        <f t="shared" si="10"/>
        <v>1.61</v>
      </c>
      <c r="G124" s="15" t="s">
        <v>31</v>
      </c>
      <c r="H124" s="17">
        <v>680.81</v>
      </c>
      <c r="I124" s="17">
        <f t="shared" si="11"/>
        <v>613.750215</v>
      </c>
      <c r="J124" s="24">
        <f t="shared" si="14"/>
        <v>575.385</v>
      </c>
      <c r="K124" s="25">
        <v>0.0985</v>
      </c>
      <c r="L124" s="26">
        <v>0.25</v>
      </c>
      <c r="M124" s="24">
        <v>767.18</v>
      </c>
      <c r="N124" s="27">
        <f t="shared" si="12"/>
        <v>1235.16</v>
      </c>
      <c r="O124" s="15"/>
      <c r="P124" s="15" t="s">
        <v>70</v>
      </c>
      <c r="Q124" s="15" t="s">
        <v>268</v>
      </c>
      <c r="R124" s="15" t="s">
        <v>32</v>
      </c>
      <c r="S124" s="15" t="s">
        <v>21</v>
      </c>
      <c r="T124" s="16">
        <v>1.61</v>
      </c>
      <c r="U124" s="17">
        <f t="shared" si="13"/>
        <v>1235.1598</v>
      </c>
    </row>
    <row r="125" ht="54.75" customHeight="1" spans="1:21">
      <c r="A125" s="14" t="s">
        <v>26</v>
      </c>
      <c r="B125" s="15" t="s">
        <v>320</v>
      </c>
      <c r="C125" s="15" t="s">
        <v>42</v>
      </c>
      <c r="D125" s="15" t="s">
        <v>321</v>
      </c>
      <c r="E125" s="15" t="s">
        <v>322</v>
      </c>
      <c r="F125" s="16">
        <f t="shared" si="10"/>
        <v>2.73</v>
      </c>
      <c r="G125" s="15" t="s">
        <v>31</v>
      </c>
      <c r="H125" s="17">
        <v>634.72</v>
      </c>
      <c r="I125" s="17">
        <f t="shared" si="11"/>
        <v>572.20008</v>
      </c>
      <c r="J125" s="24">
        <f t="shared" si="14"/>
        <v>536.4375</v>
      </c>
      <c r="K125" s="25">
        <v>0.0985</v>
      </c>
      <c r="L125" s="26">
        <v>0.25</v>
      </c>
      <c r="M125" s="24">
        <f>ROUND(I125,2)+(ROUND(I125,2)*L125)</f>
        <v>715.25</v>
      </c>
      <c r="N125" s="27">
        <f t="shared" si="12"/>
        <v>1952.63</v>
      </c>
      <c r="O125" s="15"/>
      <c r="P125" s="15" t="s">
        <v>70</v>
      </c>
      <c r="Q125" s="15" t="s">
        <v>268</v>
      </c>
      <c r="R125" s="15" t="s">
        <v>32</v>
      </c>
      <c r="S125" s="15" t="s">
        <v>21</v>
      </c>
      <c r="T125" s="16">
        <v>2.73</v>
      </c>
      <c r="U125" s="17">
        <f t="shared" si="13"/>
        <v>1952.6325</v>
      </c>
    </row>
    <row r="126" ht="54" customHeight="1" spans="1:21">
      <c r="A126" s="14" t="s">
        <v>26</v>
      </c>
      <c r="B126" s="15" t="s">
        <v>323</v>
      </c>
      <c r="C126" s="15" t="s">
        <v>42</v>
      </c>
      <c r="D126" s="15" t="s">
        <v>324</v>
      </c>
      <c r="E126" s="15" t="s">
        <v>325</v>
      </c>
      <c r="F126" s="16">
        <f t="shared" si="10"/>
        <v>2.16</v>
      </c>
      <c r="G126" s="15" t="s">
        <v>31</v>
      </c>
      <c r="H126" s="17">
        <v>680.81</v>
      </c>
      <c r="I126" s="17">
        <f t="shared" si="11"/>
        <v>613.750215</v>
      </c>
      <c r="J126" s="24">
        <f t="shared" si="14"/>
        <v>575.385</v>
      </c>
      <c r="K126" s="25">
        <v>0.0985</v>
      </c>
      <c r="L126" s="26">
        <v>0.25</v>
      </c>
      <c r="M126" s="24">
        <v>767.18</v>
      </c>
      <c r="N126" s="27">
        <f t="shared" si="12"/>
        <v>1657.11</v>
      </c>
      <c r="O126" s="15"/>
      <c r="P126" s="15" t="s">
        <v>70</v>
      </c>
      <c r="Q126" s="15" t="s">
        <v>268</v>
      </c>
      <c r="R126" s="15" t="s">
        <v>32</v>
      </c>
      <c r="S126" s="15" t="s">
        <v>21</v>
      </c>
      <c r="T126" s="16">
        <v>2.16</v>
      </c>
      <c r="U126" s="17">
        <f t="shared" si="13"/>
        <v>1657.1088</v>
      </c>
    </row>
    <row r="127" ht="45" customHeight="1" spans="1:21">
      <c r="A127" s="14" t="s">
        <v>26</v>
      </c>
      <c r="B127" s="15" t="s">
        <v>326</v>
      </c>
      <c r="C127" s="15" t="s">
        <v>42</v>
      </c>
      <c r="D127" s="15" t="s">
        <v>327</v>
      </c>
      <c r="E127" s="15" t="s">
        <v>328</v>
      </c>
      <c r="F127" s="16">
        <f t="shared" si="10"/>
        <v>1.05</v>
      </c>
      <c r="G127" s="15" t="s">
        <v>31</v>
      </c>
      <c r="H127" s="17">
        <v>634.72</v>
      </c>
      <c r="I127" s="17">
        <f t="shared" si="11"/>
        <v>572.20008</v>
      </c>
      <c r="J127" s="24">
        <f t="shared" si="14"/>
        <v>536.4375</v>
      </c>
      <c r="K127" s="25">
        <v>0.0985</v>
      </c>
      <c r="L127" s="26">
        <v>0.25</v>
      </c>
      <c r="M127" s="24">
        <f t="shared" ref="M127:M134" si="17">ROUND(I127,2)+(ROUND(I127,2)*L127)</f>
        <v>715.25</v>
      </c>
      <c r="N127" s="27">
        <f t="shared" si="12"/>
        <v>751.01</v>
      </c>
      <c r="O127" s="15"/>
      <c r="P127" s="15" t="s">
        <v>70</v>
      </c>
      <c r="Q127" s="15" t="s">
        <v>268</v>
      </c>
      <c r="R127" s="15" t="s">
        <v>32</v>
      </c>
      <c r="S127" s="15" t="s">
        <v>21</v>
      </c>
      <c r="T127" s="16">
        <v>1.05</v>
      </c>
      <c r="U127" s="17">
        <f t="shared" si="13"/>
        <v>751.0125</v>
      </c>
    </row>
    <row r="128" ht="51" customHeight="1" spans="1:21">
      <c r="A128" s="14" t="s">
        <v>26</v>
      </c>
      <c r="B128" s="15" t="s">
        <v>329</v>
      </c>
      <c r="C128" s="15" t="s">
        <v>42</v>
      </c>
      <c r="D128" s="15" t="s">
        <v>330</v>
      </c>
      <c r="E128" s="15" t="s">
        <v>331</v>
      </c>
      <c r="F128" s="16">
        <f t="shared" si="10"/>
        <v>12.6</v>
      </c>
      <c r="G128" s="15" t="s">
        <v>31</v>
      </c>
      <c r="H128" s="17">
        <v>634.72</v>
      </c>
      <c r="I128" s="17">
        <f t="shared" si="11"/>
        <v>572.20008</v>
      </c>
      <c r="J128" s="24">
        <f t="shared" si="14"/>
        <v>536.4375</v>
      </c>
      <c r="K128" s="25">
        <v>0.0985</v>
      </c>
      <c r="L128" s="26">
        <v>0.25</v>
      </c>
      <c r="M128" s="24">
        <f t="shared" si="17"/>
        <v>715.25</v>
      </c>
      <c r="N128" s="27">
        <f t="shared" si="12"/>
        <v>9012.15</v>
      </c>
      <c r="O128" s="15"/>
      <c r="P128" s="15" t="s">
        <v>70</v>
      </c>
      <c r="Q128" s="15" t="s">
        <v>268</v>
      </c>
      <c r="R128" s="15" t="s">
        <v>32</v>
      </c>
      <c r="S128" s="15" t="s">
        <v>21</v>
      </c>
      <c r="T128" s="16">
        <v>12.6</v>
      </c>
      <c r="U128" s="17">
        <f t="shared" si="13"/>
        <v>9012.15</v>
      </c>
    </row>
    <row r="129" ht="65.25" customHeight="1" spans="1:21">
      <c r="A129" s="14" t="s">
        <v>26</v>
      </c>
      <c r="B129" s="15" t="s">
        <v>332</v>
      </c>
      <c r="C129" s="15" t="s">
        <v>42</v>
      </c>
      <c r="D129" s="15" t="s">
        <v>333</v>
      </c>
      <c r="E129" s="15" t="s">
        <v>334</v>
      </c>
      <c r="F129" s="16">
        <f t="shared" si="10"/>
        <v>8.4</v>
      </c>
      <c r="G129" s="15" t="s">
        <v>31</v>
      </c>
      <c r="H129" s="17">
        <v>634.72</v>
      </c>
      <c r="I129" s="17">
        <f t="shared" si="11"/>
        <v>572.20008</v>
      </c>
      <c r="J129" s="24">
        <f t="shared" si="14"/>
        <v>536.4375</v>
      </c>
      <c r="K129" s="25">
        <v>0.0985</v>
      </c>
      <c r="L129" s="26">
        <v>0.25</v>
      </c>
      <c r="M129" s="24">
        <f t="shared" si="17"/>
        <v>715.25</v>
      </c>
      <c r="N129" s="27">
        <f t="shared" si="12"/>
        <v>6008.1</v>
      </c>
      <c r="O129" s="15"/>
      <c r="P129" s="15" t="s">
        <v>70</v>
      </c>
      <c r="Q129" s="15" t="s">
        <v>268</v>
      </c>
      <c r="R129" s="15" t="s">
        <v>32</v>
      </c>
      <c r="S129" s="15" t="s">
        <v>21</v>
      </c>
      <c r="T129" s="16">
        <v>8.4</v>
      </c>
      <c r="U129" s="17">
        <f t="shared" si="13"/>
        <v>6008.1</v>
      </c>
    </row>
    <row r="130" ht="54" customHeight="1" spans="1:21">
      <c r="A130" s="14" t="s">
        <v>26</v>
      </c>
      <c r="B130" s="15" t="s">
        <v>335</v>
      </c>
      <c r="C130" s="15" t="s">
        <v>42</v>
      </c>
      <c r="D130" s="15" t="s">
        <v>336</v>
      </c>
      <c r="E130" s="15" t="s">
        <v>337</v>
      </c>
      <c r="F130" s="16">
        <f t="shared" si="10"/>
        <v>6.3</v>
      </c>
      <c r="G130" s="15" t="s">
        <v>31</v>
      </c>
      <c r="H130" s="17">
        <v>634.72</v>
      </c>
      <c r="I130" s="17">
        <f t="shared" si="11"/>
        <v>572.20008</v>
      </c>
      <c r="J130" s="24">
        <f t="shared" si="14"/>
        <v>536.4375</v>
      </c>
      <c r="K130" s="25">
        <v>0.0985</v>
      </c>
      <c r="L130" s="26">
        <v>0.25</v>
      </c>
      <c r="M130" s="24">
        <f t="shared" si="17"/>
        <v>715.25</v>
      </c>
      <c r="N130" s="27">
        <f t="shared" si="12"/>
        <v>4506.08</v>
      </c>
      <c r="O130" s="15"/>
      <c r="P130" s="15" t="s">
        <v>70</v>
      </c>
      <c r="Q130" s="15" t="s">
        <v>268</v>
      </c>
      <c r="R130" s="15" t="s">
        <v>32</v>
      </c>
      <c r="S130" s="15" t="s">
        <v>21</v>
      </c>
      <c r="T130" s="16">
        <v>6.3</v>
      </c>
      <c r="U130" s="17">
        <f t="shared" si="13"/>
        <v>4506.075</v>
      </c>
    </row>
    <row r="131" ht="52.5" customHeight="1" spans="1:21">
      <c r="A131" s="14" t="s">
        <v>26</v>
      </c>
      <c r="B131" s="15" t="s">
        <v>338</v>
      </c>
      <c r="C131" s="15" t="s">
        <v>42</v>
      </c>
      <c r="D131" s="15" t="s">
        <v>339</v>
      </c>
      <c r="E131" s="15" t="s">
        <v>340</v>
      </c>
      <c r="F131" s="16">
        <f t="shared" si="10"/>
        <v>1.05</v>
      </c>
      <c r="G131" s="15" t="s">
        <v>31</v>
      </c>
      <c r="H131" s="17">
        <v>634.72</v>
      </c>
      <c r="I131" s="17">
        <f t="shared" si="11"/>
        <v>572.20008</v>
      </c>
      <c r="J131" s="24">
        <f t="shared" si="14"/>
        <v>536.4375</v>
      </c>
      <c r="K131" s="25">
        <v>0.0985</v>
      </c>
      <c r="L131" s="26">
        <v>0.25</v>
      </c>
      <c r="M131" s="24">
        <f t="shared" si="17"/>
        <v>715.25</v>
      </c>
      <c r="N131" s="27">
        <f t="shared" si="12"/>
        <v>751.01</v>
      </c>
      <c r="O131" s="15"/>
      <c r="P131" s="15" t="s">
        <v>70</v>
      </c>
      <c r="Q131" s="15" t="s">
        <v>268</v>
      </c>
      <c r="R131" s="15" t="s">
        <v>32</v>
      </c>
      <c r="S131" s="15" t="s">
        <v>21</v>
      </c>
      <c r="T131" s="16">
        <v>1.05</v>
      </c>
      <c r="U131" s="17">
        <f t="shared" si="13"/>
        <v>751.0125</v>
      </c>
    </row>
    <row r="132" ht="54" customHeight="1" spans="1:21">
      <c r="A132" s="14" t="s">
        <v>26</v>
      </c>
      <c r="B132" s="15" t="s">
        <v>341</v>
      </c>
      <c r="C132" s="15" t="s">
        <v>42</v>
      </c>
      <c r="D132" s="15" t="s">
        <v>342</v>
      </c>
      <c r="E132" s="15" t="s">
        <v>343</v>
      </c>
      <c r="F132" s="16">
        <f t="shared" si="10"/>
        <v>5.25</v>
      </c>
      <c r="G132" s="15" t="s">
        <v>31</v>
      </c>
      <c r="H132" s="17">
        <v>634.72</v>
      </c>
      <c r="I132" s="17">
        <f t="shared" si="11"/>
        <v>572.20008</v>
      </c>
      <c r="J132" s="24">
        <f t="shared" si="14"/>
        <v>536.4375</v>
      </c>
      <c r="K132" s="25">
        <v>0.0985</v>
      </c>
      <c r="L132" s="26">
        <v>0.25</v>
      </c>
      <c r="M132" s="24">
        <f t="shared" si="17"/>
        <v>715.25</v>
      </c>
      <c r="N132" s="27">
        <f t="shared" si="12"/>
        <v>3755.06</v>
      </c>
      <c r="O132" s="15"/>
      <c r="P132" s="15" t="s">
        <v>70</v>
      </c>
      <c r="Q132" s="15" t="s">
        <v>268</v>
      </c>
      <c r="R132" s="15" t="s">
        <v>32</v>
      </c>
      <c r="S132" s="15" t="s">
        <v>21</v>
      </c>
      <c r="T132" s="16">
        <v>5.25</v>
      </c>
      <c r="U132" s="17">
        <f t="shared" si="13"/>
        <v>3755.0625</v>
      </c>
    </row>
    <row r="133" ht="54.75" customHeight="1" spans="1:21">
      <c r="A133" s="14" t="s">
        <v>26</v>
      </c>
      <c r="B133" s="15" t="s">
        <v>344</v>
      </c>
      <c r="C133" s="15" t="s">
        <v>42</v>
      </c>
      <c r="D133" s="15" t="s">
        <v>345</v>
      </c>
      <c r="E133" s="15" t="s">
        <v>346</v>
      </c>
      <c r="F133" s="16">
        <f t="shared" si="10"/>
        <v>4.2</v>
      </c>
      <c r="G133" s="15" t="s">
        <v>31</v>
      </c>
      <c r="H133" s="17">
        <v>634.72</v>
      </c>
      <c r="I133" s="17">
        <f t="shared" si="11"/>
        <v>572.20008</v>
      </c>
      <c r="J133" s="24">
        <f t="shared" si="14"/>
        <v>536.4375</v>
      </c>
      <c r="K133" s="25">
        <v>0.0985</v>
      </c>
      <c r="L133" s="26">
        <v>0.25</v>
      </c>
      <c r="M133" s="24">
        <f t="shared" si="17"/>
        <v>715.25</v>
      </c>
      <c r="N133" s="27">
        <f t="shared" si="12"/>
        <v>3004.05</v>
      </c>
      <c r="O133" s="15"/>
      <c r="P133" s="15" t="s">
        <v>70</v>
      </c>
      <c r="Q133" s="15" t="s">
        <v>268</v>
      </c>
      <c r="R133" s="15" t="s">
        <v>32</v>
      </c>
      <c r="S133" s="15" t="s">
        <v>21</v>
      </c>
      <c r="T133" s="16">
        <v>4.2</v>
      </c>
      <c r="U133" s="17">
        <f t="shared" si="13"/>
        <v>3004.05</v>
      </c>
    </row>
    <row r="134" ht="51" customHeight="1" spans="1:21">
      <c r="A134" s="14" t="s">
        <v>26</v>
      </c>
      <c r="B134" s="15" t="s">
        <v>347</v>
      </c>
      <c r="C134" s="15" t="s">
        <v>42</v>
      </c>
      <c r="D134" s="15" t="s">
        <v>348</v>
      </c>
      <c r="E134" s="15" t="s">
        <v>349</v>
      </c>
      <c r="F134" s="16">
        <f t="shared" si="10"/>
        <v>16.8</v>
      </c>
      <c r="G134" s="15" t="s">
        <v>31</v>
      </c>
      <c r="H134" s="17">
        <v>634.72</v>
      </c>
      <c r="I134" s="17">
        <f t="shared" si="11"/>
        <v>572.20008</v>
      </c>
      <c r="J134" s="24">
        <f t="shared" si="14"/>
        <v>536.4375</v>
      </c>
      <c r="K134" s="25">
        <v>0.0985</v>
      </c>
      <c r="L134" s="26">
        <v>0.25</v>
      </c>
      <c r="M134" s="24">
        <f t="shared" si="17"/>
        <v>715.25</v>
      </c>
      <c r="N134" s="27">
        <f t="shared" si="12"/>
        <v>12016.2</v>
      </c>
      <c r="O134" s="15"/>
      <c r="P134" s="15" t="s">
        <v>70</v>
      </c>
      <c r="Q134" s="15" t="s">
        <v>268</v>
      </c>
      <c r="R134" s="15" t="s">
        <v>32</v>
      </c>
      <c r="S134" s="15" t="s">
        <v>21</v>
      </c>
      <c r="T134" s="16">
        <v>16.8</v>
      </c>
      <c r="U134" s="17">
        <f t="shared" si="13"/>
        <v>12016.2</v>
      </c>
    </row>
    <row r="135" ht="52.5" customHeight="1" spans="1:21">
      <c r="A135" s="14" t="s">
        <v>26</v>
      </c>
      <c r="B135" s="15" t="s">
        <v>350</v>
      </c>
      <c r="C135" s="15" t="s">
        <v>42</v>
      </c>
      <c r="D135" s="15" t="s">
        <v>351</v>
      </c>
      <c r="E135" s="15" t="s">
        <v>352</v>
      </c>
      <c r="F135" s="16">
        <f t="shared" si="10"/>
        <v>2.72</v>
      </c>
      <c r="G135" s="15" t="s">
        <v>31</v>
      </c>
      <c r="H135" s="17">
        <v>680.81</v>
      </c>
      <c r="I135" s="17">
        <f t="shared" si="11"/>
        <v>613.750215</v>
      </c>
      <c r="J135" s="24">
        <f t="shared" si="14"/>
        <v>575.385</v>
      </c>
      <c r="K135" s="25">
        <v>0.0985</v>
      </c>
      <c r="L135" s="26">
        <v>0.25</v>
      </c>
      <c r="M135" s="24">
        <v>767.18</v>
      </c>
      <c r="N135" s="27">
        <f t="shared" si="12"/>
        <v>2086.73</v>
      </c>
      <c r="O135" s="15"/>
      <c r="P135" s="15" t="s">
        <v>70</v>
      </c>
      <c r="Q135" s="15" t="s">
        <v>268</v>
      </c>
      <c r="R135" s="15" t="s">
        <v>32</v>
      </c>
      <c r="S135" s="15" t="s">
        <v>21</v>
      </c>
      <c r="T135" s="16">
        <v>2.72</v>
      </c>
      <c r="U135" s="17">
        <f t="shared" si="13"/>
        <v>2086.7296</v>
      </c>
    </row>
    <row r="136" ht="45" customHeight="1" spans="1:21">
      <c r="A136" s="14" t="s">
        <v>26</v>
      </c>
      <c r="B136" s="15" t="s">
        <v>353</v>
      </c>
      <c r="C136" s="15" t="s">
        <v>42</v>
      </c>
      <c r="D136" s="15" t="s">
        <v>354</v>
      </c>
      <c r="E136" s="15" t="s">
        <v>355</v>
      </c>
      <c r="F136" s="16">
        <f t="shared" si="10"/>
        <v>10.28</v>
      </c>
      <c r="G136" s="15" t="s">
        <v>31</v>
      </c>
      <c r="H136" s="17">
        <v>197.54</v>
      </c>
      <c r="I136" s="17">
        <f t="shared" si="11"/>
        <v>178.08231</v>
      </c>
      <c r="J136" s="24">
        <f t="shared" si="14"/>
        <v>166.95</v>
      </c>
      <c r="K136" s="25">
        <v>0.0985</v>
      </c>
      <c r="L136" s="26">
        <v>0.25</v>
      </c>
      <c r="M136" s="24">
        <f>ROUND(I136,2)+(ROUND(I136,2)*L136)</f>
        <v>222.6</v>
      </c>
      <c r="N136" s="27">
        <f t="shared" si="12"/>
        <v>2288.33</v>
      </c>
      <c r="O136" s="15"/>
      <c r="P136" s="15" t="s">
        <v>70</v>
      </c>
      <c r="Q136" s="15" t="s">
        <v>268</v>
      </c>
      <c r="R136" s="15" t="s">
        <v>32</v>
      </c>
      <c r="S136" s="15" t="s">
        <v>21</v>
      </c>
      <c r="T136" s="16">
        <v>10.28</v>
      </c>
      <c r="U136" s="17">
        <f t="shared" si="13"/>
        <v>2288.328</v>
      </c>
    </row>
    <row r="137" ht="45" customHeight="1" spans="1:21">
      <c r="A137" s="14" t="s">
        <v>26</v>
      </c>
      <c r="B137" s="15" t="s">
        <v>356</v>
      </c>
      <c r="C137" s="15" t="s">
        <v>42</v>
      </c>
      <c r="D137" s="15" t="s">
        <v>357</v>
      </c>
      <c r="E137" s="15" t="s">
        <v>358</v>
      </c>
      <c r="F137" s="16">
        <f t="shared" si="10"/>
        <v>1</v>
      </c>
      <c r="G137" s="15" t="s">
        <v>31</v>
      </c>
      <c r="H137" s="17">
        <v>691.38</v>
      </c>
      <c r="I137" s="17">
        <f t="shared" si="11"/>
        <v>623.27907</v>
      </c>
      <c r="J137" s="24">
        <f t="shared" si="14"/>
        <v>584.325</v>
      </c>
      <c r="K137" s="25">
        <v>0.0985</v>
      </c>
      <c r="L137" s="26">
        <v>0.25</v>
      </c>
      <c r="M137" s="24">
        <f>ROUND(I137,2)+(ROUND(I137,2)*L137)</f>
        <v>779.1</v>
      </c>
      <c r="N137" s="27">
        <f t="shared" si="12"/>
        <v>779.1</v>
      </c>
      <c r="O137" s="15"/>
      <c r="P137" s="15" t="s">
        <v>70</v>
      </c>
      <c r="Q137" s="15" t="s">
        <v>268</v>
      </c>
      <c r="R137" s="15" t="s">
        <v>32</v>
      </c>
      <c r="S137" s="15" t="s">
        <v>21</v>
      </c>
      <c r="T137" s="16">
        <v>1</v>
      </c>
      <c r="U137" s="17">
        <f t="shared" si="13"/>
        <v>779.1</v>
      </c>
    </row>
    <row r="138" ht="45" customHeight="1" spans="1:21">
      <c r="A138" s="14" t="s">
        <v>26</v>
      </c>
      <c r="B138" s="15" t="s">
        <v>359</v>
      </c>
      <c r="C138" s="15" t="s">
        <v>42</v>
      </c>
      <c r="D138" s="15" t="s">
        <v>360</v>
      </c>
      <c r="E138" s="15" t="s">
        <v>361</v>
      </c>
      <c r="F138" s="16">
        <f t="shared" si="10"/>
        <v>3.08</v>
      </c>
      <c r="G138" s="15" t="s">
        <v>31</v>
      </c>
      <c r="H138" s="17">
        <v>712.59</v>
      </c>
      <c r="I138" s="17">
        <f t="shared" si="11"/>
        <v>642.399885</v>
      </c>
      <c r="J138" s="24">
        <f t="shared" si="14"/>
        <v>602.25</v>
      </c>
      <c r="K138" s="25">
        <v>0.0985</v>
      </c>
      <c r="L138" s="26">
        <v>0.25</v>
      </c>
      <c r="M138" s="24">
        <f>ROUND(I138,2)+(ROUND(I138,2)*L138)</f>
        <v>803</v>
      </c>
      <c r="N138" s="27">
        <f t="shared" si="12"/>
        <v>2473.24</v>
      </c>
      <c r="O138" s="15"/>
      <c r="P138" s="15" t="s">
        <v>70</v>
      </c>
      <c r="Q138" s="15" t="s">
        <v>268</v>
      </c>
      <c r="R138" s="15" t="s">
        <v>32</v>
      </c>
      <c r="S138" s="15" t="s">
        <v>21</v>
      </c>
      <c r="T138" s="16">
        <v>3.08</v>
      </c>
      <c r="U138" s="17">
        <f t="shared" si="13"/>
        <v>2473.24</v>
      </c>
    </row>
    <row r="139" ht="45" customHeight="1" spans="1:21">
      <c r="A139" s="14" t="s">
        <v>26</v>
      </c>
      <c r="B139" s="15" t="s">
        <v>362</v>
      </c>
      <c r="C139" s="15" t="s">
        <v>42</v>
      </c>
      <c r="D139" s="15" t="s">
        <v>363</v>
      </c>
      <c r="E139" s="15" t="s">
        <v>364</v>
      </c>
      <c r="F139" s="16">
        <f t="shared" si="10"/>
        <v>2.94</v>
      </c>
      <c r="G139" s="15" t="s">
        <v>31</v>
      </c>
      <c r="H139" s="17">
        <v>705.55</v>
      </c>
      <c r="I139" s="17">
        <f t="shared" si="11"/>
        <v>636.053325</v>
      </c>
      <c r="J139" s="24">
        <f t="shared" si="14"/>
        <v>596.296875</v>
      </c>
      <c r="K139" s="25">
        <v>0.0985</v>
      </c>
      <c r="L139" s="26">
        <v>0.25</v>
      </c>
      <c r="M139" s="24">
        <f>ROUND(I139,2)+(ROUND(I139,2)*L139)</f>
        <v>795.0625</v>
      </c>
      <c r="N139" s="27">
        <f t="shared" si="12"/>
        <v>2337.48</v>
      </c>
      <c r="O139" s="15"/>
      <c r="P139" s="15" t="s">
        <v>70</v>
      </c>
      <c r="Q139" s="15" t="s">
        <v>268</v>
      </c>
      <c r="R139" s="15" t="s">
        <v>32</v>
      </c>
      <c r="S139" s="15" t="s">
        <v>21</v>
      </c>
      <c r="T139" s="16">
        <v>2.94</v>
      </c>
      <c r="U139" s="17">
        <f t="shared" si="13"/>
        <v>2337.4764</v>
      </c>
    </row>
    <row r="140" ht="45" customHeight="1" spans="1:21">
      <c r="A140" s="14" t="s">
        <v>26</v>
      </c>
      <c r="B140" s="15" t="s">
        <v>365</v>
      </c>
      <c r="C140" s="15" t="s">
        <v>42</v>
      </c>
      <c r="D140" s="15" t="s">
        <v>366</v>
      </c>
      <c r="E140" s="15" t="s">
        <v>367</v>
      </c>
      <c r="F140" s="16">
        <f t="shared" si="10"/>
        <v>116.76</v>
      </c>
      <c r="G140" s="15" t="s">
        <v>31</v>
      </c>
      <c r="H140" s="17">
        <v>691.47</v>
      </c>
      <c r="I140" s="17">
        <f t="shared" si="11"/>
        <v>623.360205</v>
      </c>
      <c r="J140" s="24">
        <f t="shared" si="14"/>
        <v>584.4</v>
      </c>
      <c r="K140" s="25">
        <v>0.0985</v>
      </c>
      <c r="L140" s="26">
        <v>0.25</v>
      </c>
      <c r="M140" s="24">
        <f>ROUND(I140,2)+(ROUND(I140,2)*L140)</f>
        <v>779.2</v>
      </c>
      <c r="N140" s="27">
        <f t="shared" si="12"/>
        <v>90979.39</v>
      </c>
      <c r="O140" s="15"/>
      <c r="P140" s="15" t="s">
        <v>70</v>
      </c>
      <c r="Q140" s="15" t="s">
        <v>268</v>
      </c>
      <c r="R140" s="15" t="s">
        <v>32</v>
      </c>
      <c r="S140" s="15" t="s">
        <v>21</v>
      </c>
      <c r="T140" s="16">
        <v>116.76</v>
      </c>
      <c r="U140" s="17">
        <f t="shared" si="13"/>
        <v>90979.392</v>
      </c>
    </row>
    <row r="141" ht="45" customHeight="1" spans="1:21">
      <c r="A141" s="14" t="s">
        <v>26</v>
      </c>
      <c r="B141" s="15" t="s">
        <v>368</v>
      </c>
      <c r="C141" s="15" t="s">
        <v>42</v>
      </c>
      <c r="D141" s="15" t="s">
        <v>369</v>
      </c>
      <c r="E141" s="15" t="s">
        <v>370</v>
      </c>
      <c r="F141" s="16">
        <f t="shared" si="10"/>
        <v>71.89</v>
      </c>
      <c r="G141" s="15" t="s">
        <v>31</v>
      </c>
      <c r="H141" s="17">
        <v>268.59</v>
      </c>
      <c r="I141" s="17">
        <f t="shared" si="11"/>
        <v>242.054946399</v>
      </c>
      <c r="J141" s="24">
        <f t="shared" si="14"/>
        <v>226.9275</v>
      </c>
      <c r="K141" s="25">
        <v>0.0987939</v>
      </c>
      <c r="L141" s="26">
        <v>0.25</v>
      </c>
      <c r="M141" s="24">
        <v>302.57</v>
      </c>
      <c r="N141" s="27">
        <f t="shared" si="12"/>
        <v>21751.76</v>
      </c>
      <c r="O141" s="15"/>
      <c r="P141" s="15" t="s">
        <v>70</v>
      </c>
      <c r="Q141" s="15" t="s">
        <v>268</v>
      </c>
      <c r="R141" s="15" t="s">
        <v>32</v>
      </c>
      <c r="S141" s="15" t="s">
        <v>21</v>
      </c>
      <c r="T141" s="16">
        <v>71.89</v>
      </c>
      <c r="U141" s="17">
        <f t="shared" si="13"/>
        <v>21751.7573</v>
      </c>
    </row>
    <row r="142" ht="52.5" customHeight="1" spans="1:21">
      <c r="A142" s="14" t="s">
        <v>26</v>
      </c>
      <c r="B142" s="15" t="s">
        <v>371</v>
      </c>
      <c r="C142" s="15" t="s">
        <v>42</v>
      </c>
      <c r="D142" s="15" t="s">
        <v>372</v>
      </c>
      <c r="E142" s="15" t="s">
        <v>373</v>
      </c>
      <c r="F142" s="16">
        <f t="shared" si="10"/>
        <v>6.3</v>
      </c>
      <c r="G142" s="15" t="s">
        <v>31</v>
      </c>
      <c r="H142" s="17">
        <v>1094.49</v>
      </c>
      <c r="I142" s="17">
        <f t="shared" si="11"/>
        <v>986.682735</v>
      </c>
      <c r="J142" s="24">
        <f t="shared" si="14"/>
        <v>925.0125</v>
      </c>
      <c r="K142" s="25">
        <v>0.0985</v>
      </c>
      <c r="L142" s="26">
        <v>0.25</v>
      </c>
      <c r="M142" s="24">
        <f>ROUND(I142,2)+(ROUND(I142,2)*L142)</f>
        <v>1233.35</v>
      </c>
      <c r="N142" s="27">
        <f t="shared" si="12"/>
        <v>7770.11</v>
      </c>
      <c r="O142" s="15"/>
      <c r="P142" s="15" t="s">
        <v>70</v>
      </c>
      <c r="Q142" s="15" t="s">
        <v>268</v>
      </c>
      <c r="R142" s="15" t="s">
        <v>32</v>
      </c>
      <c r="S142" s="15" t="s">
        <v>21</v>
      </c>
      <c r="T142" s="16">
        <v>6.3</v>
      </c>
      <c r="U142" s="17">
        <f t="shared" si="13"/>
        <v>7770.105</v>
      </c>
    </row>
    <row r="143" ht="51" customHeight="1" spans="1:21">
      <c r="A143" s="14" t="s">
        <v>26</v>
      </c>
      <c r="B143" s="15" t="s">
        <v>374</v>
      </c>
      <c r="C143" s="15" t="s">
        <v>42</v>
      </c>
      <c r="D143" s="15" t="s">
        <v>375</v>
      </c>
      <c r="E143" s="15" t="s">
        <v>376</v>
      </c>
      <c r="F143" s="16">
        <f t="shared" si="10"/>
        <v>4</v>
      </c>
      <c r="G143" s="15" t="s">
        <v>31</v>
      </c>
      <c r="H143" s="17">
        <v>1094.49</v>
      </c>
      <c r="I143" s="17">
        <f t="shared" si="11"/>
        <v>986.682735</v>
      </c>
      <c r="J143" s="24">
        <f t="shared" si="14"/>
        <v>925.0125</v>
      </c>
      <c r="K143" s="25">
        <v>0.0985</v>
      </c>
      <c r="L143" s="26">
        <v>0.25</v>
      </c>
      <c r="M143" s="24">
        <f>ROUND(I143,2)+(ROUND(I143,2)*L143)</f>
        <v>1233.35</v>
      </c>
      <c r="N143" s="27">
        <f t="shared" si="12"/>
        <v>4933.4</v>
      </c>
      <c r="O143" s="15"/>
      <c r="P143" s="15" t="s">
        <v>70</v>
      </c>
      <c r="Q143" s="15" t="s">
        <v>268</v>
      </c>
      <c r="R143" s="15" t="s">
        <v>32</v>
      </c>
      <c r="S143" s="15" t="s">
        <v>21</v>
      </c>
      <c r="T143" s="16">
        <v>4</v>
      </c>
      <c r="U143" s="17">
        <f t="shared" si="13"/>
        <v>4933.4</v>
      </c>
    </row>
    <row r="144" ht="51" customHeight="1" spans="1:21">
      <c r="A144" s="14" t="s">
        <v>26</v>
      </c>
      <c r="B144" s="15" t="s">
        <v>377</v>
      </c>
      <c r="C144" s="15" t="s">
        <v>42</v>
      </c>
      <c r="D144" s="15" t="s">
        <v>378</v>
      </c>
      <c r="E144" s="15" t="s">
        <v>379</v>
      </c>
      <c r="F144" s="16">
        <f t="shared" si="10"/>
        <v>6.24</v>
      </c>
      <c r="G144" s="15" t="s">
        <v>31</v>
      </c>
      <c r="H144" s="17">
        <v>1094.49</v>
      </c>
      <c r="I144" s="17">
        <f t="shared" si="11"/>
        <v>986.682735</v>
      </c>
      <c r="J144" s="24">
        <f t="shared" si="14"/>
        <v>925.0125</v>
      </c>
      <c r="K144" s="25">
        <v>0.0985</v>
      </c>
      <c r="L144" s="26">
        <v>0.25</v>
      </c>
      <c r="M144" s="24">
        <f>ROUND(I144,2)+(ROUND(I144,2)*L144)</f>
        <v>1233.35</v>
      </c>
      <c r="N144" s="27">
        <f t="shared" si="12"/>
        <v>7696.1</v>
      </c>
      <c r="O144" s="15"/>
      <c r="P144" s="15" t="s">
        <v>70</v>
      </c>
      <c r="Q144" s="15" t="s">
        <v>268</v>
      </c>
      <c r="R144" s="15" t="s">
        <v>32</v>
      </c>
      <c r="S144" s="15" t="s">
        <v>21</v>
      </c>
      <c r="T144" s="16">
        <v>6.24</v>
      </c>
      <c r="U144" s="17">
        <f t="shared" si="13"/>
        <v>7696.104</v>
      </c>
    </row>
    <row r="145" ht="72.75" customHeight="1" spans="1:21">
      <c r="A145" s="14" t="s">
        <v>26</v>
      </c>
      <c r="B145" s="15" t="s">
        <v>380</v>
      </c>
      <c r="C145" s="15" t="s">
        <v>42</v>
      </c>
      <c r="D145" s="15" t="s">
        <v>381</v>
      </c>
      <c r="E145" s="15" t="s">
        <v>382</v>
      </c>
      <c r="F145" s="16">
        <f t="shared" si="10"/>
        <v>850.66</v>
      </c>
      <c r="G145" s="15" t="s">
        <v>31</v>
      </c>
      <c r="H145" s="17">
        <v>149.61</v>
      </c>
      <c r="I145" s="17">
        <f t="shared" si="11"/>
        <v>134.873415</v>
      </c>
      <c r="J145" s="24">
        <f t="shared" si="14"/>
        <v>126.435</v>
      </c>
      <c r="K145" s="25">
        <v>0.0985</v>
      </c>
      <c r="L145" s="26">
        <v>0.25</v>
      </c>
      <c r="M145" s="24">
        <v>168.58</v>
      </c>
      <c r="N145" s="27">
        <f t="shared" si="12"/>
        <v>143404.26</v>
      </c>
      <c r="O145" s="15"/>
      <c r="P145" s="15" t="s">
        <v>72</v>
      </c>
      <c r="Q145" s="15" t="s">
        <v>383</v>
      </c>
      <c r="R145" s="15" t="s">
        <v>32</v>
      </c>
      <c r="S145" s="15" t="s">
        <v>21</v>
      </c>
      <c r="T145" s="16">
        <v>850.66</v>
      </c>
      <c r="U145" s="17">
        <f t="shared" si="13"/>
        <v>143404.2628</v>
      </c>
    </row>
    <row r="146" ht="45" customHeight="1" spans="1:21">
      <c r="A146" s="14" t="s">
        <v>26</v>
      </c>
      <c r="B146" s="15" t="s">
        <v>384</v>
      </c>
      <c r="C146" s="15" t="s">
        <v>28</v>
      </c>
      <c r="D146" s="15" t="s">
        <v>385</v>
      </c>
      <c r="E146" s="15" t="s">
        <v>386</v>
      </c>
      <c r="F146" s="16">
        <f t="shared" si="10"/>
        <v>69.15</v>
      </c>
      <c r="G146" s="15" t="s">
        <v>48</v>
      </c>
      <c r="H146" s="17">
        <v>173.34</v>
      </c>
      <c r="I146" s="17">
        <f t="shared" si="11"/>
        <v>156.240009</v>
      </c>
      <c r="J146" s="24">
        <f t="shared" si="14"/>
        <v>146.475</v>
      </c>
      <c r="K146" s="25">
        <v>0.09865</v>
      </c>
      <c r="L146" s="26">
        <v>0.25</v>
      </c>
      <c r="M146" s="24">
        <f>ROUND(I146,2)+(ROUND(I146,2)*L146)</f>
        <v>195.3</v>
      </c>
      <c r="N146" s="27">
        <f t="shared" si="12"/>
        <v>13505</v>
      </c>
      <c r="O146" s="15"/>
      <c r="P146" s="15" t="s">
        <v>72</v>
      </c>
      <c r="Q146" s="15" t="s">
        <v>383</v>
      </c>
      <c r="R146" s="15" t="s">
        <v>32</v>
      </c>
      <c r="S146" s="15" t="s">
        <v>21</v>
      </c>
      <c r="T146" s="16">
        <v>69.15</v>
      </c>
      <c r="U146" s="17">
        <f t="shared" si="13"/>
        <v>13504.995</v>
      </c>
    </row>
    <row r="147" ht="45" customHeight="1" spans="1:21">
      <c r="A147" s="14" t="s">
        <v>26</v>
      </c>
      <c r="B147" s="15" t="s">
        <v>387</v>
      </c>
      <c r="C147" s="15" t="s">
        <v>42</v>
      </c>
      <c r="D147" s="15" t="s">
        <v>388</v>
      </c>
      <c r="E147" s="15" t="s">
        <v>389</v>
      </c>
      <c r="F147" s="16">
        <f t="shared" si="10"/>
        <v>93.6</v>
      </c>
      <c r="G147" s="15" t="s">
        <v>48</v>
      </c>
      <c r="H147" s="17">
        <v>60.03</v>
      </c>
      <c r="I147" s="17">
        <f t="shared" si="11"/>
        <v>54.117045</v>
      </c>
      <c r="J147" s="24">
        <f t="shared" si="14"/>
        <v>50.73</v>
      </c>
      <c r="K147" s="25">
        <v>0.0985</v>
      </c>
      <c r="L147" s="26">
        <v>0.25</v>
      </c>
      <c r="M147" s="24">
        <v>67.64</v>
      </c>
      <c r="N147" s="27">
        <f t="shared" si="12"/>
        <v>6331.1</v>
      </c>
      <c r="O147" s="15"/>
      <c r="P147" s="15" t="s">
        <v>72</v>
      </c>
      <c r="Q147" s="15" t="s">
        <v>383</v>
      </c>
      <c r="R147" s="15" t="s">
        <v>32</v>
      </c>
      <c r="S147" s="15" t="s">
        <v>21</v>
      </c>
      <c r="T147" s="16">
        <v>93.6</v>
      </c>
      <c r="U147" s="17">
        <f t="shared" si="13"/>
        <v>6331.104</v>
      </c>
    </row>
    <row r="148" ht="45" customHeight="1" spans="1:21">
      <c r="A148" s="14" t="s">
        <v>26</v>
      </c>
      <c r="B148" s="15" t="s">
        <v>390</v>
      </c>
      <c r="C148" s="15" t="s">
        <v>42</v>
      </c>
      <c r="D148" s="15" t="s">
        <v>391</v>
      </c>
      <c r="E148" s="15" t="s">
        <v>392</v>
      </c>
      <c r="F148" s="16">
        <f t="shared" si="10"/>
        <v>45.7</v>
      </c>
      <c r="G148" s="15" t="s">
        <v>48</v>
      </c>
      <c r="H148" s="17">
        <v>60.03</v>
      </c>
      <c r="I148" s="17">
        <f t="shared" si="11"/>
        <v>54.117045</v>
      </c>
      <c r="J148" s="24">
        <f t="shared" si="14"/>
        <v>50.73</v>
      </c>
      <c r="K148" s="25">
        <v>0.0985</v>
      </c>
      <c r="L148" s="26">
        <v>0.25</v>
      </c>
      <c r="M148" s="24">
        <v>67.64</v>
      </c>
      <c r="N148" s="27">
        <f t="shared" si="12"/>
        <v>3091.15</v>
      </c>
      <c r="O148" s="15"/>
      <c r="P148" s="15" t="s">
        <v>72</v>
      </c>
      <c r="Q148" s="15" t="s">
        <v>383</v>
      </c>
      <c r="R148" s="15" t="s">
        <v>32</v>
      </c>
      <c r="S148" s="15" t="s">
        <v>21</v>
      </c>
      <c r="T148" s="16">
        <v>45.7</v>
      </c>
      <c r="U148" s="17">
        <f t="shared" si="13"/>
        <v>3091.148</v>
      </c>
    </row>
    <row r="149" ht="45" customHeight="1" spans="1:21">
      <c r="A149" s="14" t="s">
        <v>26</v>
      </c>
      <c r="B149" s="15" t="s">
        <v>393</v>
      </c>
      <c r="C149" s="15" t="s">
        <v>42</v>
      </c>
      <c r="D149" s="15" t="s">
        <v>394</v>
      </c>
      <c r="E149" s="15" t="s">
        <v>395</v>
      </c>
      <c r="F149" s="16">
        <f t="shared" si="10"/>
        <v>126.6</v>
      </c>
      <c r="G149" s="15" t="s">
        <v>48</v>
      </c>
      <c r="H149" s="17">
        <v>60.03</v>
      </c>
      <c r="I149" s="17">
        <f t="shared" si="11"/>
        <v>54.117045</v>
      </c>
      <c r="J149" s="24">
        <f t="shared" si="14"/>
        <v>50.73</v>
      </c>
      <c r="K149" s="25">
        <v>0.0985</v>
      </c>
      <c r="L149" s="26">
        <v>0.25</v>
      </c>
      <c r="M149" s="24">
        <v>67.64</v>
      </c>
      <c r="N149" s="27">
        <f t="shared" si="12"/>
        <v>8563.22</v>
      </c>
      <c r="O149" s="15"/>
      <c r="P149" s="15" t="s">
        <v>72</v>
      </c>
      <c r="Q149" s="15" t="s">
        <v>383</v>
      </c>
      <c r="R149" s="15" t="s">
        <v>32</v>
      </c>
      <c r="S149" s="15" t="s">
        <v>21</v>
      </c>
      <c r="T149" s="16">
        <v>126.6</v>
      </c>
      <c r="U149" s="17">
        <f t="shared" si="13"/>
        <v>8563.224</v>
      </c>
    </row>
    <row r="150" ht="45" customHeight="1" spans="1:21">
      <c r="A150" s="14" t="s">
        <v>26</v>
      </c>
      <c r="B150" s="15" t="s">
        <v>396</v>
      </c>
      <c r="C150" s="15" t="s">
        <v>42</v>
      </c>
      <c r="D150" s="15" t="s">
        <v>397</v>
      </c>
      <c r="E150" s="15" t="s">
        <v>398</v>
      </c>
      <c r="F150" s="16">
        <f t="shared" ref="F150:F213" si="18">T150</f>
        <v>233.6</v>
      </c>
      <c r="G150" s="15" t="s">
        <v>48</v>
      </c>
      <c r="H150" s="17">
        <v>52.37</v>
      </c>
      <c r="I150" s="17">
        <f t="shared" ref="I150:I213" si="19">H150-H150*K150</f>
        <v>47.211555</v>
      </c>
      <c r="J150" s="24">
        <f t="shared" si="14"/>
        <v>44.259375</v>
      </c>
      <c r="K150" s="25">
        <v>0.0985</v>
      </c>
      <c r="L150" s="26">
        <v>0.25</v>
      </c>
      <c r="M150" s="24">
        <f>ROUND(I150,2)+(ROUND(I150,2)*L150)</f>
        <v>59.0125</v>
      </c>
      <c r="N150" s="27">
        <f t="shared" ref="N150:N213" si="20">ROUND(U150,2)</f>
        <v>13784.74</v>
      </c>
      <c r="O150" s="15"/>
      <c r="P150" s="15" t="s">
        <v>72</v>
      </c>
      <c r="Q150" s="15" t="s">
        <v>383</v>
      </c>
      <c r="R150" s="15" t="s">
        <v>32</v>
      </c>
      <c r="S150" s="15" t="s">
        <v>21</v>
      </c>
      <c r="T150" s="16">
        <v>233.6</v>
      </c>
      <c r="U150" s="17">
        <f t="shared" ref="U150:U213" si="21">ROUND(M150,2)*T150</f>
        <v>13784.736</v>
      </c>
    </row>
    <row r="151" ht="45" customHeight="1" spans="1:21">
      <c r="A151" s="14" t="s">
        <v>26</v>
      </c>
      <c r="B151" s="15" t="s">
        <v>399</v>
      </c>
      <c r="C151" s="15" t="s">
        <v>42</v>
      </c>
      <c r="D151" s="15" t="s">
        <v>400</v>
      </c>
      <c r="E151" s="15" t="s">
        <v>401</v>
      </c>
      <c r="F151" s="16">
        <f t="shared" si="18"/>
        <v>394.02</v>
      </c>
      <c r="G151" s="15" t="s">
        <v>31</v>
      </c>
      <c r="H151" s="17">
        <v>41.17</v>
      </c>
      <c r="I151" s="17">
        <f t="shared" si="19"/>
        <v>37.114755</v>
      </c>
      <c r="J151" s="24">
        <f t="shared" ref="J151:J214" si="22">M151-M151*L151</f>
        <v>34.8075</v>
      </c>
      <c r="K151" s="25">
        <v>0.0985</v>
      </c>
      <c r="L151" s="26">
        <v>0.25</v>
      </c>
      <c r="M151" s="24">
        <v>46.41</v>
      </c>
      <c r="N151" s="27">
        <f t="shared" si="20"/>
        <v>18286.47</v>
      </c>
      <c r="O151" s="15"/>
      <c r="P151" s="15" t="s">
        <v>74</v>
      </c>
      <c r="Q151" s="15" t="s">
        <v>402</v>
      </c>
      <c r="R151" s="15" t="s">
        <v>32</v>
      </c>
      <c r="S151" s="15" t="s">
        <v>21</v>
      </c>
      <c r="T151" s="16">
        <v>394.02</v>
      </c>
      <c r="U151" s="17">
        <f t="shared" si="21"/>
        <v>18286.4682</v>
      </c>
    </row>
    <row r="152" ht="45" customHeight="1" spans="1:21">
      <c r="A152" s="14" t="s">
        <v>26</v>
      </c>
      <c r="B152" s="15" t="s">
        <v>403</v>
      </c>
      <c r="C152" s="15" t="s">
        <v>42</v>
      </c>
      <c r="D152" s="15" t="s">
        <v>404</v>
      </c>
      <c r="E152" s="15" t="s">
        <v>405</v>
      </c>
      <c r="F152" s="16">
        <f t="shared" si="18"/>
        <v>125.46</v>
      </c>
      <c r="G152" s="15" t="s">
        <v>31</v>
      </c>
      <c r="H152" s="17">
        <v>41.17</v>
      </c>
      <c r="I152" s="17">
        <f t="shared" si="19"/>
        <v>37.114755</v>
      </c>
      <c r="J152" s="24">
        <f t="shared" si="22"/>
        <v>34.8075</v>
      </c>
      <c r="K152" s="25">
        <v>0.0985</v>
      </c>
      <c r="L152" s="26">
        <v>0.25</v>
      </c>
      <c r="M152" s="24">
        <v>46.41</v>
      </c>
      <c r="N152" s="27">
        <f t="shared" si="20"/>
        <v>5822.6</v>
      </c>
      <c r="O152" s="15"/>
      <c r="P152" s="15" t="s">
        <v>74</v>
      </c>
      <c r="Q152" s="15" t="s">
        <v>402</v>
      </c>
      <c r="R152" s="15" t="s">
        <v>32</v>
      </c>
      <c r="S152" s="15" t="s">
        <v>21</v>
      </c>
      <c r="T152" s="16">
        <v>125.46</v>
      </c>
      <c r="U152" s="17">
        <f t="shared" si="21"/>
        <v>5822.5986</v>
      </c>
    </row>
    <row r="153" ht="45" customHeight="1" spans="1:21">
      <c r="A153" s="14" t="s">
        <v>26</v>
      </c>
      <c r="B153" s="15" t="s">
        <v>406</v>
      </c>
      <c r="C153" s="15" t="s">
        <v>28</v>
      </c>
      <c r="D153" s="15" t="s">
        <v>407</v>
      </c>
      <c r="E153" s="15" t="s">
        <v>408</v>
      </c>
      <c r="F153" s="16">
        <f t="shared" si="18"/>
        <v>2569.6</v>
      </c>
      <c r="G153" s="15" t="s">
        <v>31</v>
      </c>
      <c r="H153" s="17">
        <v>4.73</v>
      </c>
      <c r="I153" s="17">
        <f t="shared" si="19"/>
        <v>4.2551553</v>
      </c>
      <c r="J153" s="24">
        <f t="shared" si="22"/>
        <v>3.99</v>
      </c>
      <c r="K153" s="25">
        <v>0.10039</v>
      </c>
      <c r="L153" s="26">
        <v>0.25</v>
      </c>
      <c r="M153" s="24">
        <v>5.32</v>
      </c>
      <c r="N153" s="27">
        <f t="shared" si="20"/>
        <v>13670.27</v>
      </c>
      <c r="O153" s="15"/>
      <c r="P153" s="15" t="s">
        <v>78</v>
      </c>
      <c r="Q153" s="15" t="s">
        <v>409</v>
      </c>
      <c r="R153" s="15" t="s">
        <v>32</v>
      </c>
      <c r="S153" s="15" t="s">
        <v>21</v>
      </c>
      <c r="T153" s="16">
        <v>2569.6</v>
      </c>
      <c r="U153" s="17">
        <f t="shared" si="21"/>
        <v>13670.272</v>
      </c>
    </row>
    <row r="154" ht="54" customHeight="1" spans="1:21">
      <c r="A154" s="14" t="s">
        <v>26</v>
      </c>
      <c r="B154" s="15" t="s">
        <v>410</v>
      </c>
      <c r="C154" s="15" t="s">
        <v>28</v>
      </c>
      <c r="D154" s="15" t="s">
        <v>411</v>
      </c>
      <c r="E154" s="15" t="s">
        <v>412</v>
      </c>
      <c r="F154" s="16">
        <f t="shared" si="18"/>
        <v>1589.78</v>
      </c>
      <c r="G154" s="15" t="s">
        <v>31</v>
      </c>
      <c r="H154" s="17">
        <v>31.48</v>
      </c>
      <c r="I154" s="17">
        <f t="shared" si="19"/>
        <v>28.374498</v>
      </c>
      <c r="J154" s="24">
        <f t="shared" si="22"/>
        <v>26.6025</v>
      </c>
      <c r="K154" s="25">
        <v>0.09865</v>
      </c>
      <c r="L154" s="26">
        <v>0.25</v>
      </c>
      <c r="M154" s="24">
        <v>35.47</v>
      </c>
      <c r="N154" s="27">
        <f t="shared" si="20"/>
        <v>56389.5</v>
      </c>
      <c r="O154" s="15"/>
      <c r="P154" s="15" t="s">
        <v>76</v>
      </c>
      <c r="Q154" s="15" t="s">
        <v>413</v>
      </c>
      <c r="R154" s="15" t="s">
        <v>32</v>
      </c>
      <c r="S154" s="15" t="s">
        <v>21</v>
      </c>
      <c r="T154" s="16">
        <v>1589.78</v>
      </c>
      <c r="U154" s="17">
        <f t="shared" si="21"/>
        <v>56389.4966</v>
      </c>
    </row>
    <row r="155" ht="58.5" customHeight="1" spans="1:21">
      <c r="A155" s="14" t="s">
        <v>26</v>
      </c>
      <c r="B155" s="15" t="s">
        <v>414</v>
      </c>
      <c r="C155" s="15" t="s">
        <v>28</v>
      </c>
      <c r="D155" s="15" t="s">
        <v>415</v>
      </c>
      <c r="E155" s="15" t="s">
        <v>416</v>
      </c>
      <c r="F155" s="16">
        <f t="shared" si="18"/>
        <v>979.82</v>
      </c>
      <c r="G155" s="15" t="s">
        <v>31</v>
      </c>
      <c r="H155" s="17">
        <v>39.01</v>
      </c>
      <c r="I155" s="17">
        <f t="shared" si="19"/>
        <v>35.163614</v>
      </c>
      <c r="J155" s="24">
        <f t="shared" si="22"/>
        <v>32.9625</v>
      </c>
      <c r="K155" s="25">
        <v>0.0986</v>
      </c>
      <c r="L155" s="26">
        <v>0.25</v>
      </c>
      <c r="M155" s="24">
        <f>ROUND(I155,2)+(ROUND(I155,2)*L155)</f>
        <v>43.95</v>
      </c>
      <c r="N155" s="27">
        <f t="shared" si="20"/>
        <v>43063.09</v>
      </c>
      <c r="O155" s="15"/>
      <c r="P155" s="15" t="s">
        <v>76</v>
      </c>
      <c r="Q155" s="15" t="s">
        <v>413</v>
      </c>
      <c r="R155" s="15" t="s">
        <v>32</v>
      </c>
      <c r="S155" s="15" t="s">
        <v>21</v>
      </c>
      <c r="T155" s="16">
        <v>979.82</v>
      </c>
      <c r="U155" s="17">
        <f t="shared" si="21"/>
        <v>43063.089</v>
      </c>
    </row>
    <row r="156" ht="52.5" customHeight="1" spans="1:21">
      <c r="A156" s="14" t="s">
        <v>26</v>
      </c>
      <c r="B156" s="15" t="s">
        <v>417</v>
      </c>
      <c r="C156" s="15" t="s">
        <v>28</v>
      </c>
      <c r="D156" s="15" t="s">
        <v>418</v>
      </c>
      <c r="E156" s="15" t="s">
        <v>419</v>
      </c>
      <c r="F156" s="16">
        <f t="shared" si="18"/>
        <v>1024.77</v>
      </c>
      <c r="G156" s="15" t="s">
        <v>31</v>
      </c>
      <c r="H156" s="17">
        <v>22.41</v>
      </c>
      <c r="I156" s="17">
        <f t="shared" si="19"/>
        <v>20.202615</v>
      </c>
      <c r="J156" s="24">
        <f t="shared" si="22"/>
        <v>18.9375</v>
      </c>
      <c r="K156" s="25">
        <v>0.0985</v>
      </c>
      <c r="L156" s="26">
        <v>0.25</v>
      </c>
      <c r="M156" s="24">
        <f>ROUND(I156,2)+(ROUND(I156,2)*L156)</f>
        <v>25.25</v>
      </c>
      <c r="N156" s="27">
        <f t="shared" si="20"/>
        <v>25875.44</v>
      </c>
      <c r="O156" s="15"/>
      <c r="P156" s="15" t="s">
        <v>76</v>
      </c>
      <c r="Q156" s="15" t="s">
        <v>413</v>
      </c>
      <c r="R156" s="15" t="s">
        <v>32</v>
      </c>
      <c r="S156" s="15" t="s">
        <v>21</v>
      </c>
      <c r="T156" s="16">
        <v>1024.77</v>
      </c>
      <c r="U156" s="17">
        <f t="shared" si="21"/>
        <v>25875.4425</v>
      </c>
    </row>
    <row r="157" ht="48.75" customHeight="1" spans="1:21">
      <c r="A157" s="14" t="s">
        <v>26</v>
      </c>
      <c r="B157" s="15" t="s">
        <v>420</v>
      </c>
      <c r="C157" s="15" t="s">
        <v>28</v>
      </c>
      <c r="D157" s="15" t="s">
        <v>421</v>
      </c>
      <c r="E157" s="15" t="s">
        <v>422</v>
      </c>
      <c r="F157" s="16">
        <f t="shared" si="18"/>
        <v>456.39</v>
      </c>
      <c r="G157" s="15" t="s">
        <v>31</v>
      </c>
      <c r="H157" s="17">
        <v>62.91</v>
      </c>
      <c r="I157" s="17">
        <f t="shared" si="19"/>
        <v>56.713365</v>
      </c>
      <c r="J157" s="24">
        <f t="shared" si="22"/>
        <v>53.16</v>
      </c>
      <c r="K157" s="25">
        <v>0.0985</v>
      </c>
      <c r="L157" s="26">
        <v>0.25</v>
      </c>
      <c r="M157" s="24">
        <v>70.88</v>
      </c>
      <c r="N157" s="27">
        <f t="shared" si="20"/>
        <v>32348.92</v>
      </c>
      <c r="O157" s="15"/>
      <c r="P157" s="15" t="s">
        <v>76</v>
      </c>
      <c r="Q157" s="15" t="s">
        <v>413</v>
      </c>
      <c r="R157" s="15" t="s">
        <v>32</v>
      </c>
      <c r="S157" s="15" t="s">
        <v>21</v>
      </c>
      <c r="T157" s="16">
        <v>456.39</v>
      </c>
      <c r="U157" s="17">
        <f t="shared" si="21"/>
        <v>32348.9232</v>
      </c>
    </row>
    <row r="158" ht="45" customHeight="1" spans="1:21">
      <c r="A158" s="14" t="s">
        <v>26</v>
      </c>
      <c r="B158" s="15" t="s">
        <v>423</v>
      </c>
      <c r="C158" s="15" t="s">
        <v>42</v>
      </c>
      <c r="D158" s="15" t="s">
        <v>424</v>
      </c>
      <c r="E158" s="15" t="s">
        <v>425</v>
      </c>
      <c r="F158" s="16">
        <f t="shared" si="18"/>
        <v>94</v>
      </c>
      <c r="G158" s="15" t="s">
        <v>31</v>
      </c>
      <c r="H158" s="17">
        <v>56.08</v>
      </c>
      <c r="I158" s="17">
        <f t="shared" si="19"/>
        <v>50.55612</v>
      </c>
      <c r="J158" s="24">
        <f t="shared" si="22"/>
        <v>47.3925</v>
      </c>
      <c r="K158" s="25">
        <v>0.0985</v>
      </c>
      <c r="L158" s="26">
        <v>0.25</v>
      </c>
      <c r="M158" s="24">
        <v>63.19</v>
      </c>
      <c r="N158" s="27">
        <f t="shared" si="20"/>
        <v>5939.86</v>
      </c>
      <c r="O158" s="15"/>
      <c r="P158" s="15" t="s">
        <v>76</v>
      </c>
      <c r="Q158" s="15" t="s">
        <v>413</v>
      </c>
      <c r="R158" s="15" t="s">
        <v>32</v>
      </c>
      <c r="S158" s="15" t="s">
        <v>21</v>
      </c>
      <c r="T158" s="16">
        <v>94</v>
      </c>
      <c r="U158" s="17">
        <f t="shared" si="21"/>
        <v>5939.86</v>
      </c>
    </row>
    <row r="159" ht="45" customHeight="1" spans="1:21">
      <c r="A159" s="14" t="s">
        <v>26</v>
      </c>
      <c r="B159" s="15" t="s">
        <v>426</v>
      </c>
      <c r="C159" s="15" t="s">
        <v>42</v>
      </c>
      <c r="D159" s="15" t="s">
        <v>427</v>
      </c>
      <c r="E159" s="15" t="s">
        <v>428</v>
      </c>
      <c r="F159" s="16">
        <f t="shared" si="18"/>
        <v>4.6</v>
      </c>
      <c r="G159" s="15" t="s">
        <v>31</v>
      </c>
      <c r="H159" s="17">
        <v>56.08</v>
      </c>
      <c r="I159" s="17">
        <f t="shared" si="19"/>
        <v>50.55612</v>
      </c>
      <c r="J159" s="24">
        <f t="shared" si="22"/>
        <v>47.3925</v>
      </c>
      <c r="K159" s="25">
        <v>0.0985</v>
      </c>
      <c r="L159" s="26">
        <v>0.25</v>
      </c>
      <c r="M159" s="24">
        <v>63.19</v>
      </c>
      <c r="N159" s="27">
        <f t="shared" si="20"/>
        <v>290.67</v>
      </c>
      <c r="O159" s="15"/>
      <c r="P159" s="15" t="s">
        <v>76</v>
      </c>
      <c r="Q159" s="15" t="s">
        <v>413</v>
      </c>
      <c r="R159" s="15" t="s">
        <v>32</v>
      </c>
      <c r="S159" s="15" t="s">
        <v>21</v>
      </c>
      <c r="T159" s="16">
        <v>4.6</v>
      </c>
      <c r="U159" s="17">
        <f t="shared" si="21"/>
        <v>290.674</v>
      </c>
    </row>
    <row r="160" ht="45" customHeight="1" spans="1:21">
      <c r="A160" s="14" t="s">
        <v>26</v>
      </c>
      <c r="B160" s="15" t="s">
        <v>429</v>
      </c>
      <c r="C160" s="15" t="s">
        <v>42</v>
      </c>
      <c r="D160" s="15" t="s">
        <v>430</v>
      </c>
      <c r="E160" s="15" t="s">
        <v>431</v>
      </c>
      <c r="F160" s="16">
        <f t="shared" si="18"/>
        <v>9.71</v>
      </c>
      <c r="G160" s="15" t="s">
        <v>31</v>
      </c>
      <c r="H160" s="17">
        <v>56.08</v>
      </c>
      <c r="I160" s="17">
        <f t="shared" si="19"/>
        <v>50.55612</v>
      </c>
      <c r="J160" s="24">
        <f t="shared" si="22"/>
        <v>47.3925</v>
      </c>
      <c r="K160" s="25">
        <v>0.0985</v>
      </c>
      <c r="L160" s="26">
        <v>0.25</v>
      </c>
      <c r="M160" s="24">
        <v>63.19</v>
      </c>
      <c r="N160" s="27">
        <f t="shared" si="20"/>
        <v>613.57</v>
      </c>
      <c r="O160" s="15"/>
      <c r="P160" s="15" t="s">
        <v>76</v>
      </c>
      <c r="Q160" s="15" t="s">
        <v>413</v>
      </c>
      <c r="R160" s="15" t="s">
        <v>32</v>
      </c>
      <c r="S160" s="15" t="s">
        <v>21</v>
      </c>
      <c r="T160" s="16">
        <v>9.71</v>
      </c>
      <c r="U160" s="17">
        <f t="shared" si="21"/>
        <v>613.5749</v>
      </c>
    </row>
    <row r="161" ht="45" customHeight="1" spans="1:21">
      <c r="A161" s="14" t="s">
        <v>26</v>
      </c>
      <c r="B161" s="15" t="s">
        <v>432</v>
      </c>
      <c r="C161" s="15" t="s">
        <v>42</v>
      </c>
      <c r="D161" s="15" t="s">
        <v>433</v>
      </c>
      <c r="E161" s="15" t="s">
        <v>434</v>
      </c>
      <c r="F161" s="16">
        <f t="shared" si="18"/>
        <v>4.92</v>
      </c>
      <c r="G161" s="15" t="s">
        <v>31</v>
      </c>
      <c r="H161" s="17">
        <v>56.08</v>
      </c>
      <c r="I161" s="17">
        <f t="shared" si="19"/>
        <v>50.55612</v>
      </c>
      <c r="J161" s="24">
        <f t="shared" si="22"/>
        <v>47.3925</v>
      </c>
      <c r="K161" s="25">
        <v>0.0985</v>
      </c>
      <c r="L161" s="26">
        <v>0.25</v>
      </c>
      <c r="M161" s="24">
        <v>63.19</v>
      </c>
      <c r="N161" s="27">
        <f t="shared" si="20"/>
        <v>310.89</v>
      </c>
      <c r="O161" s="15"/>
      <c r="P161" s="15" t="s">
        <v>76</v>
      </c>
      <c r="Q161" s="15" t="s">
        <v>413</v>
      </c>
      <c r="R161" s="15" t="s">
        <v>32</v>
      </c>
      <c r="S161" s="15" t="s">
        <v>21</v>
      </c>
      <c r="T161" s="16">
        <v>4.92</v>
      </c>
      <c r="U161" s="17">
        <f t="shared" si="21"/>
        <v>310.8948</v>
      </c>
    </row>
    <row r="162" ht="45" customHeight="1" spans="1:21">
      <c r="A162" s="14" t="s">
        <v>26</v>
      </c>
      <c r="B162" s="15" t="s">
        <v>435</v>
      </c>
      <c r="C162" s="15" t="s">
        <v>42</v>
      </c>
      <c r="D162" s="15" t="s">
        <v>436</v>
      </c>
      <c r="E162" s="15" t="s">
        <v>437</v>
      </c>
      <c r="F162" s="16">
        <f t="shared" si="18"/>
        <v>127.2</v>
      </c>
      <c r="G162" s="15" t="s">
        <v>48</v>
      </c>
      <c r="H162" s="17">
        <v>33.13</v>
      </c>
      <c r="I162" s="17">
        <f t="shared" si="19"/>
        <v>29.866695</v>
      </c>
      <c r="J162" s="24">
        <f t="shared" si="22"/>
        <v>27.9975</v>
      </c>
      <c r="K162" s="25">
        <v>0.0985</v>
      </c>
      <c r="L162" s="26">
        <v>0.25</v>
      </c>
      <c r="M162" s="24">
        <v>37.33</v>
      </c>
      <c r="N162" s="27">
        <f t="shared" si="20"/>
        <v>4748.38</v>
      </c>
      <c r="O162" s="15"/>
      <c r="P162" s="15" t="s">
        <v>76</v>
      </c>
      <c r="Q162" s="15" t="s">
        <v>413</v>
      </c>
      <c r="R162" s="15" t="s">
        <v>32</v>
      </c>
      <c r="S162" s="15" t="s">
        <v>21</v>
      </c>
      <c r="T162" s="16">
        <v>127.2</v>
      </c>
      <c r="U162" s="17">
        <f t="shared" si="21"/>
        <v>4748.376</v>
      </c>
    </row>
    <row r="163" ht="45" customHeight="1" spans="1:21">
      <c r="A163" s="14" t="s">
        <v>26</v>
      </c>
      <c r="B163" s="15" t="s">
        <v>438</v>
      </c>
      <c r="C163" s="15" t="s">
        <v>28</v>
      </c>
      <c r="D163" s="15" t="s">
        <v>439</v>
      </c>
      <c r="E163" s="15" t="s">
        <v>440</v>
      </c>
      <c r="F163" s="16">
        <f t="shared" si="18"/>
        <v>438.37</v>
      </c>
      <c r="G163" s="15" t="s">
        <v>31</v>
      </c>
      <c r="H163" s="17">
        <v>73.97</v>
      </c>
      <c r="I163" s="17">
        <f t="shared" si="19"/>
        <v>66.65799153</v>
      </c>
      <c r="J163" s="24">
        <f t="shared" si="22"/>
        <v>62.49</v>
      </c>
      <c r="K163" s="25">
        <v>0.098851</v>
      </c>
      <c r="L163" s="26">
        <v>0.25</v>
      </c>
      <c r="M163" s="24">
        <v>83.32</v>
      </c>
      <c r="N163" s="27">
        <f t="shared" si="20"/>
        <v>36524.99</v>
      </c>
      <c r="O163" s="15"/>
      <c r="P163" s="15" t="s">
        <v>76</v>
      </c>
      <c r="Q163" s="15" t="s">
        <v>413</v>
      </c>
      <c r="R163" s="15" t="s">
        <v>32</v>
      </c>
      <c r="S163" s="15" t="s">
        <v>21</v>
      </c>
      <c r="T163" s="16">
        <v>438.37</v>
      </c>
      <c r="U163" s="17">
        <f t="shared" si="21"/>
        <v>36524.9884</v>
      </c>
    </row>
    <row r="164" ht="54" customHeight="1" spans="1:21">
      <c r="A164" s="14" t="s">
        <v>26</v>
      </c>
      <c r="B164" s="15" t="s">
        <v>441</v>
      </c>
      <c r="C164" s="15" t="s">
        <v>42</v>
      </c>
      <c r="D164" s="15" t="s">
        <v>442</v>
      </c>
      <c r="E164" s="15" t="s">
        <v>443</v>
      </c>
      <c r="F164" s="16">
        <f t="shared" si="18"/>
        <v>259.43</v>
      </c>
      <c r="G164" s="15" t="s">
        <v>31</v>
      </c>
      <c r="H164" s="17">
        <v>144.27</v>
      </c>
      <c r="I164" s="17">
        <f t="shared" si="19"/>
        <v>130.0536342</v>
      </c>
      <c r="J164" s="24">
        <f t="shared" si="22"/>
        <v>121.9275</v>
      </c>
      <c r="K164" s="25">
        <v>0.09854</v>
      </c>
      <c r="L164" s="26">
        <v>0.25</v>
      </c>
      <c r="M164" s="24">
        <v>162.57</v>
      </c>
      <c r="N164" s="27">
        <f t="shared" si="20"/>
        <v>42175.54</v>
      </c>
      <c r="O164" s="15"/>
      <c r="P164" s="15" t="s">
        <v>76</v>
      </c>
      <c r="Q164" s="15" t="s">
        <v>413</v>
      </c>
      <c r="R164" s="15" t="s">
        <v>32</v>
      </c>
      <c r="S164" s="15" t="s">
        <v>21</v>
      </c>
      <c r="T164" s="16">
        <v>259.43</v>
      </c>
      <c r="U164" s="17">
        <f t="shared" si="21"/>
        <v>42175.5351</v>
      </c>
    </row>
    <row r="165" ht="45" customHeight="1" spans="1:21">
      <c r="A165" s="14" t="s">
        <v>26</v>
      </c>
      <c r="B165" s="15" t="s">
        <v>444</v>
      </c>
      <c r="C165" s="15" t="s">
        <v>28</v>
      </c>
      <c r="D165" s="15" t="s">
        <v>407</v>
      </c>
      <c r="E165" s="15" t="s">
        <v>408</v>
      </c>
      <c r="F165" s="16">
        <f t="shared" si="18"/>
        <v>98.05</v>
      </c>
      <c r="G165" s="15" t="s">
        <v>31</v>
      </c>
      <c r="H165" s="17">
        <v>4.73</v>
      </c>
      <c r="I165" s="17">
        <f t="shared" si="19"/>
        <v>4.255108</v>
      </c>
      <c r="J165" s="24">
        <f t="shared" si="22"/>
        <v>3.99</v>
      </c>
      <c r="K165" s="25">
        <v>0.1004</v>
      </c>
      <c r="L165" s="26">
        <v>0.25</v>
      </c>
      <c r="M165" s="24">
        <v>5.32</v>
      </c>
      <c r="N165" s="27">
        <f t="shared" si="20"/>
        <v>521.63</v>
      </c>
      <c r="O165" s="15"/>
      <c r="P165" s="15" t="s">
        <v>76</v>
      </c>
      <c r="Q165" s="15" t="s">
        <v>413</v>
      </c>
      <c r="R165" s="15" t="s">
        <v>32</v>
      </c>
      <c r="S165" s="15" t="s">
        <v>21</v>
      </c>
      <c r="T165" s="16">
        <v>98.05</v>
      </c>
      <c r="U165" s="17">
        <f t="shared" si="21"/>
        <v>521.626</v>
      </c>
    </row>
    <row r="166" ht="54" customHeight="1" spans="1:21">
      <c r="A166" s="14" t="s">
        <v>26</v>
      </c>
      <c r="B166" s="15" t="s">
        <v>445</v>
      </c>
      <c r="C166" s="15" t="s">
        <v>28</v>
      </c>
      <c r="D166" s="15" t="s">
        <v>415</v>
      </c>
      <c r="E166" s="15" t="s">
        <v>416</v>
      </c>
      <c r="F166" s="16">
        <f t="shared" si="18"/>
        <v>98.05</v>
      </c>
      <c r="G166" s="15" t="s">
        <v>31</v>
      </c>
      <c r="H166" s="17">
        <v>39.01</v>
      </c>
      <c r="I166" s="17">
        <f t="shared" si="19"/>
        <v>35.163614</v>
      </c>
      <c r="J166" s="24">
        <f t="shared" si="22"/>
        <v>32.9625</v>
      </c>
      <c r="K166" s="25">
        <v>0.0986</v>
      </c>
      <c r="L166" s="26">
        <v>0.25</v>
      </c>
      <c r="M166" s="24">
        <f>ROUND(I166,2)+(ROUND(I166,2)*L166)</f>
        <v>43.95</v>
      </c>
      <c r="N166" s="27">
        <f t="shared" si="20"/>
        <v>4309.3</v>
      </c>
      <c r="O166" s="15"/>
      <c r="P166" s="15" t="s">
        <v>76</v>
      </c>
      <c r="Q166" s="15" t="s">
        <v>413</v>
      </c>
      <c r="R166" s="15" t="s">
        <v>32</v>
      </c>
      <c r="S166" s="15" t="s">
        <v>21</v>
      </c>
      <c r="T166" s="16">
        <v>98.05</v>
      </c>
      <c r="U166" s="17">
        <f t="shared" si="21"/>
        <v>4309.2975</v>
      </c>
    </row>
    <row r="167" ht="45" customHeight="1" spans="1:21">
      <c r="A167" s="14" t="s">
        <v>26</v>
      </c>
      <c r="B167" s="15" t="s">
        <v>446</v>
      </c>
      <c r="C167" s="15" t="s">
        <v>42</v>
      </c>
      <c r="D167" s="15" t="s">
        <v>447</v>
      </c>
      <c r="E167" s="15" t="s">
        <v>448</v>
      </c>
      <c r="F167" s="16">
        <f t="shared" si="18"/>
        <v>282.92</v>
      </c>
      <c r="G167" s="15" t="s">
        <v>31</v>
      </c>
      <c r="H167" s="17">
        <v>39.44</v>
      </c>
      <c r="I167" s="17">
        <f t="shared" si="19"/>
        <v>35.5547656</v>
      </c>
      <c r="J167" s="24">
        <f t="shared" si="22"/>
        <v>33.328125</v>
      </c>
      <c r="K167" s="25">
        <v>0.09851</v>
      </c>
      <c r="L167" s="26">
        <v>0.25</v>
      </c>
      <c r="M167" s="24">
        <f>ROUND(I167,2)+(ROUND(I167,2)*L167)</f>
        <v>44.4375</v>
      </c>
      <c r="N167" s="27">
        <f t="shared" si="20"/>
        <v>12572.96</v>
      </c>
      <c r="O167" s="15"/>
      <c r="P167" s="15" t="s">
        <v>78</v>
      </c>
      <c r="Q167" s="15" t="s">
        <v>409</v>
      </c>
      <c r="R167" s="15" t="s">
        <v>32</v>
      </c>
      <c r="S167" s="15" t="s">
        <v>21</v>
      </c>
      <c r="T167" s="16">
        <v>282.92</v>
      </c>
      <c r="U167" s="17">
        <f t="shared" si="21"/>
        <v>12572.9648</v>
      </c>
    </row>
    <row r="168" ht="45" customHeight="1" spans="1:21">
      <c r="A168" s="14" t="s">
        <v>26</v>
      </c>
      <c r="B168" s="15" t="s">
        <v>449</v>
      </c>
      <c r="C168" s="15" t="s">
        <v>28</v>
      </c>
      <c r="D168" s="15" t="s">
        <v>450</v>
      </c>
      <c r="E168" s="15" t="s">
        <v>451</v>
      </c>
      <c r="F168" s="16">
        <f t="shared" si="18"/>
        <v>375.34</v>
      </c>
      <c r="G168" s="15" t="s">
        <v>31</v>
      </c>
      <c r="H168" s="17">
        <v>46.72</v>
      </c>
      <c r="I168" s="17">
        <f t="shared" si="19"/>
        <v>42.11808</v>
      </c>
      <c r="J168" s="24">
        <f t="shared" si="22"/>
        <v>39.48</v>
      </c>
      <c r="K168" s="25">
        <v>0.0985</v>
      </c>
      <c r="L168" s="26">
        <v>0.25</v>
      </c>
      <c r="M168" s="24">
        <v>52.64</v>
      </c>
      <c r="N168" s="27">
        <f t="shared" si="20"/>
        <v>19757.9</v>
      </c>
      <c r="O168" s="15"/>
      <c r="P168" s="15" t="s">
        <v>78</v>
      </c>
      <c r="Q168" s="15" t="s">
        <v>409</v>
      </c>
      <c r="R168" s="15" t="s">
        <v>32</v>
      </c>
      <c r="S168" s="15" t="s">
        <v>21</v>
      </c>
      <c r="T168" s="16">
        <v>375.34</v>
      </c>
      <c r="U168" s="17">
        <f t="shared" si="21"/>
        <v>19757.8976</v>
      </c>
    </row>
    <row r="169" ht="54" customHeight="1" spans="1:21">
      <c r="A169" s="14" t="s">
        <v>26</v>
      </c>
      <c r="B169" s="15" t="s">
        <v>452</v>
      </c>
      <c r="C169" s="15" t="s">
        <v>28</v>
      </c>
      <c r="D169" s="15" t="s">
        <v>453</v>
      </c>
      <c r="E169" s="15" t="s">
        <v>454</v>
      </c>
      <c r="F169" s="16">
        <f t="shared" si="18"/>
        <v>125.46</v>
      </c>
      <c r="G169" s="15" t="s">
        <v>31</v>
      </c>
      <c r="H169" s="17">
        <v>49.09</v>
      </c>
      <c r="I169" s="17">
        <f t="shared" si="19"/>
        <v>44.244817</v>
      </c>
      <c r="J169" s="24">
        <f t="shared" si="22"/>
        <v>41.475</v>
      </c>
      <c r="K169" s="25">
        <v>0.0987</v>
      </c>
      <c r="L169" s="26">
        <v>0.25</v>
      </c>
      <c r="M169" s="24">
        <f>ROUND(I169,2)+(ROUND(I169,2)*L169)</f>
        <v>55.3</v>
      </c>
      <c r="N169" s="27">
        <f t="shared" si="20"/>
        <v>6937.94</v>
      </c>
      <c r="O169" s="15"/>
      <c r="P169" s="15" t="s">
        <v>78</v>
      </c>
      <c r="Q169" s="15" t="s">
        <v>409</v>
      </c>
      <c r="R169" s="15" t="s">
        <v>32</v>
      </c>
      <c r="S169" s="15" t="s">
        <v>21</v>
      </c>
      <c r="T169" s="16">
        <v>125.46</v>
      </c>
      <c r="U169" s="17">
        <f t="shared" si="21"/>
        <v>6937.938</v>
      </c>
    </row>
    <row r="170" ht="45" customHeight="1" spans="1:21">
      <c r="A170" s="14" t="s">
        <v>26</v>
      </c>
      <c r="B170" s="15" t="s">
        <v>455</v>
      </c>
      <c r="C170" s="15" t="s">
        <v>28</v>
      </c>
      <c r="D170" s="15" t="s">
        <v>456</v>
      </c>
      <c r="E170" s="15" t="s">
        <v>457</v>
      </c>
      <c r="F170" s="16">
        <f t="shared" si="18"/>
        <v>42.9</v>
      </c>
      <c r="G170" s="15" t="s">
        <v>31</v>
      </c>
      <c r="H170" s="17">
        <v>83.98</v>
      </c>
      <c r="I170" s="17">
        <f t="shared" si="19"/>
        <v>75.70797</v>
      </c>
      <c r="J170" s="24">
        <f t="shared" si="22"/>
        <v>70.9725</v>
      </c>
      <c r="K170" s="25">
        <v>0.0985</v>
      </c>
      <c r="L170" s="26">
        <v>0.25</v>
      </c>
      <c r="M170" s="24">
        <v>94.63</v>
      </c>
      <c r="N170" s="27">
        <f t="shared" si="20"/>
        <v>4059.63</v>
      </c>
      <c r="O170" s="15"/>
      <c r="P170" s="15" t="s">
        <v>78</v>
      </c>
      <c r="Q170" s="15" t="s">
        <v>409</v>
      </c>
      <c r="R170" s="15" t="s">
        <v>32</v>
      </c>
      <c r="S170" s="15" t="s">
        <v>21</v>
      </c>
      <c r="T170" s="16">
        <v>42.9</v>
      </c>
      <c r="U170" s="17">
        <f t="shared" si="21"/>
        <v>4059.627</v>
      </c>
    </row>
    <row r="171" ht="45" customHeight="1" spans="1:21">
      <c r="A171" s="14" t="s">
        <v>26</v>
      </c>
      <c r="B171" s="15" t="s">
        <v>458</v>
      </c>
      <c r="C171" s="15" t="s">
        <v>28</v>
      </c>
      <c r="D171" s="15" t="s">
        <v>459</v>
      </c>
      <c r="E171" s="15" t="s">
        <v>460</v>
      </c>
      <c r="F171" s="16">
        <f t="shared" si="18"/>
        <v>148.95</v>
      </c>
      <c r="G171" s="15" t="s">
        <v>31</v>
      </c>
      <c r="H171" s="17">
        <v>49.1</v>
      </c>
      <c r="I171" s="17">
        <f t="shared" si="19"/>
        <v>44.26365</v>
      </c>
      <c r="J171" s="24">
        <f t="shared" si="22"/>
        <v>41.49375</v>
      </c>
      <c r="K171" s="25">
        <v>0.0985</v>
      </c>
      <c r="L171" s="26">
        <v>0.25</v>
      </c>
      <c r="M171" s="24">
        <f>ROUND(I171,2)+(ROUND(I171,2)*L171)</f>
        <v>55.325</v>
      </c>
      <c r="N171" s="27">
        <f t="shared" si="20"/>
        <v>8241.4</v>
      </c>
      <c r="O171" s="15"/>
      <c r="P171" s="15" t="s">
        <v>78</v>
      </c>
      <c r="Q171" s="15" t="s">
        <v>409</v>
      </c>
      <c r="R171" s="15" t="s">
        <v>32</v>
      </c>
      <c r="S171" s="15" t="s">
        <v>21</v>
      </c>
      <c r="T171" s="16">
        <v>148.95</v>
      </c>
      <c r="U171" s="17">
        <f t="shared" si="21"/>
        <v>8241.4035</v>
      </c>
    </row>
    <row r="172" ht="45" customHeight="1" spans="1:21">
      <c r="A172" s="14" t="s">
        <v>26</v>
      </c>
      <c r="B172" s="15" t="s">
        <v>461</v>
      </c>
      <c r="C172" s="15" t="s">
        <v>42</v>
      </c>
      <c r="D172" s="15" t="s">
        <v>462</v>
      </c>
      <c r="E172" s="15" t="s">
        <v>463</v>
      </c>
      <c r="F172" s="16">
        <f t="shared" si="18"/>
        <v>216.53</v>
      </c>
      <c r="G172" s="15" t="s">
        <v>31</v>
      </c>
      <c r="H172" s="17">
        <v>195.16</v>
      </c>
      <c r="I172" s="17">
        <f t="shared" si="19"/>
        <v>175.93674</v>
      </c>
      <c r="J172" s="24">
        <f t="shared" si="22"/>
        <v>164.865</v>
      </c>
      <c r="K172" s="25">
        <v>0.0985</v>
      </c>
      <c r="L172" s="26">
        <v>0.25</v>
      </c>
      <c r="M172" s="24">
        <v>219.82</v>
      </c>
      <c r="N172" s="27">
        <f t="shared" si="20"/>
        <v>47597.62</v>
      </c>
      <c r="O172" s="15"/>
      <c r="P172" s="15" t="s">
        <v>78</v>
      </c>
      <c r="Q172" s="15" t="s">
        <v>409</v>
      </c>
      <c r="R172" s="15" t="s">
        <v>32</v>
      </c>
      <c r="S172" s="15" t="s">
        <v>21</v>
      </c>
      <c r="T172" s="16">
        <v>216.53</v>
      </c>
      <c r="U172" s="17">
        <f t="shared" si="21"/>
        <v>47597.6246</v>
      </c>
    </row>
    <row r="173" ht="45" customHeight="1" spans="1:21">
      <c r="A173" s="14" t="s">
        <v>26</v>
      </c>
      <c r="B173" s="15" t="s">
        <v>464</v>
      </c>
      <c r="C173" s="15" t="s">
        <v>42</v>
      </c>
      <c r="D173" s="15" t="s">
        <v>465</v>
      </c>
      <c r="E173" s="15" t="s">
        <v>466</v>
      </c>
      <c r="F173" s="16">
        <f t="shared" si="18"/>
        <v>216.53</v>
      </c>
      <c r="G173" s="15" t="s">
        <v>31</v>
      </c>
      <c r="H173" s="17">
        <v>5.54</v>
      </c>
      <c r="I173" s="17">
        <f t="shared" si="19"/>
        <v>4.99431</v>
      </c>
      <c r="J173" s="24">
        <f t="shared" si="22"/>
        <v>4.678125</v>
      </c>
      <c r="K173" s="25">
        <v>0.0985</v>
      </c>
      <c r="L173" s="26">
        <v>0.25</v>
      </c>
      <c r="M173" s="24">
        <f>ROUND(I173,2)+(ROUND(I173,2)*L173)</f>
        <v>6.2375</v>
      </c>
      <c r="N173" s="27">
        <f t="shared" si="20"/>
        <v>1351.15</v>
      </c>
      <c r="O173" s="15"/>
      <c r="P173" s="15" t="s">
        <v>78</v>
      </c>
      <c r="Q173" s="15" t="s">
        <v>409</v>
      </c>
      <c r="R173" s="15" t="s">
        <v>32</v>
      </c>
      <c r="S173" s="15" t="s">
        <v>21</v>
      </c>
      <c r="T173" s="16">
        <v>216.53</v>
      </c>
      <c r="U173" s="17">
        <f t="shared" si="21"/>
        <v>1351.1472</v>
      </c>
    </row>
    <row r="174" ht="45" customHeight="1" spans="1:21">
      <c r="A174" s="14" t="s">
        <v>26</v>
      </c>
      <c r="B174" s="15" t="s">
        <v>467</v>
      </c>
      <c r="C174" s="15" t="s">
        <v>28</v>
      </c>
      <c r="D174" s="15" t="s">
        <v>468</v>
      </c>
      <c r="E174" s="15" t="s">
        <v>469</v>
      </c>
      <c r="F174" s="16">
        <f t="shared" si="18"/>
        <v>68</v>
      </c>
      <c r="G174" s="15" t="s">
        <v>48</v>
      </c>
      <c r="H174" s="17">
        <v>15.54</v>
      </c>
      <c r="I174" s="17">
        <f t="shared" si="19"/>
        <v>14.00931</v>
      </c>
      <c r="J174" s="24">
        <f t="shared" si="22"/>
        <v>13.134375</v>
      </c>
      <c r="K174" s="25">
        <v>0.0985</v>
      </c>
      <c r="L174" s="26">
        <v>0.25</v>
      </c>
      <c r="M174" s="24">
        <f>ROUND(I174,2)+(ROUND(I174,2)*L174)</f>
        <v>17.5125</v>
      </c>
      <c r="N174" s="27">
        <f t="shared" si="20"/>
        <v>1190.68</v>
      </c>
      <c r="O174" s="15"/>
      <c r="P174" s="15" t="s">
        <v>78</v>
      </c>
      <c r="Q174" s="15" t="s">
        <v>409</v>
      </c>
      <c r="R174" s="15" t="s">
        <v>32</v>
      </c>
      <c r="S174" s="15" t="s">
        <v>21</v>
      </c>
      <c r="T174" s="16">
        <v>68</v>
      </c>
      <c r="U174" s="17">
        <f t="shared" si="21"/>
        <v>1190.68</v>
      </c>
    </row>
    <row r="175" ht="45" customHeight="1" spans="1:21">
      <c r="A175" s="14" t="s">
        <v>26</v>
      </c>
      <c r="B175" s="15" t="s">
        <v>470</v>
      </c>
      <c r="C175" s="15" t="s">
        <v>28</v>
      </c>
      <c r="D175" s="15" t="s">
        <v>471</v>
      </c>
      <c r="E175" s="15" t="s">
        <v>472</v>
      </c>
      <c r="F175" s="16">
        <f t="shared" si="18"/>
        <v>127.2</v>
      </c>
      <c r="G175" s="15" t="s">
        <v>48</v>
      </c>
      <c r="H175" s="17">
        <v>66.28</v>
      </c>
      <c r="I175" s="17">
        <f t="shared" si="19"/>
        <v>59.75142</v>
      </c>
      <c r="J175" s="24">
        <f t="shared" si="22"/>
        <v>56.0175</v>
      </c>
      <c r="K175" s="25">
        <v>0.0985</v>
      </c>
      <c r="L175" s="26">
        <v>0.25</v>
      </c>
      <c r="M175" s="24">
        <v>74.69</v>
      </c>
      <c r="N175" s="27">
        <f t="shared" si="20"/>
        <v>9500.57</v>
      </c>
      <c r="O175" s="15"/>
      <c r="P175" s="15" t="s">
        <v>78</v>
      </c>
      <c r="Q175" s="15" t="s">
        <v>409</v>
      </c>
      <c r="R175" s="15" t="s">
        <v>32</v>
      </c>
      <c r="S175" s="15" t="s">
        <v>21</v>
      </c>
      <c r="T175" s="16">
        <v>127.2</v>
      </c>
      <c r="U175" s="17">
        <f t="shared" si="21"/>
        <v>9500.568</v>
      </c>
    </row>
    <row r="176" ht="45" customHeight="1" spans="1:21">
      <c r="A176" s="14" t="s">
        <v>26</v>
      </c>
      <c r="B176" s="15" t="s">
        <v>473</v>
      </c>
      <c r="C176" s="15" t="s">
        <v>28</v>
      </c>
      <c r="D176" s="15" t="s">
        <v>474</v>
      </c>
      <c r="E176" s="15" t="s">
        <v>475</v>
      </c>
      <c r="F176" s="16">
        <f t="shared" si="18"/>
        <v>53.45</v>
      </c>
      <c r="G176" s="15" t="s">
        <v>48</v>
      </c>
      <c r="H176" s="17">
        <v>87.76</v>
      </c>
      <c r="I176" s="17">
        <f t="shared" si="19"/>
        <v>79.11564</v>
      </c>
      <c r="J176" s="24">
        <f t="shared" si="22"/>
        <v>74.16</v>
      </c>
      <c r="K176" s="25">
        <v>0.0985</v>
      </c>
      <c r="L176" s="26">
        <v>0.25</v>
      </c>
      <c r="M176" s="24">
        <v>98.88</v>
      </c>
      <c r="N176" s="27">
        <f t="shared" si="20"/>
        <v>5285.14</v>
      </c>
      <c r="O176" s="15"/>
      <c r="P176" s="15" t="s">
        <v>78</v>
      </c>
      <c r="Q176" s="15" t="s">
        <v>409</v>
      </c>
      <c r="R176" s="15" t="s">
        <v>32</v>
      </c>
      <c r="S176" s="15" t="s">
        <v>21</v>
      </c>
      <c r="T176" s="16">
        <v>53.45</v>
      </c>
      <c r="U176" s="17">
        <f t="shared" si="21"/>
        <v>5285.136</v>
      </c>
    </row>
    <row r="177" ht="45" customHeight="1" spans="1:21">
      <c r="A177" s="14" t="s">
        <v>26</v>
      </c>
      <c r="B177" s="15" t="s">
        <v>476</v>
      </c>
      <c r="C177" s="15" t="s">
        <v>42</v>
      </c>
      <c r="D177" s="15" t="s">
        <v>477</v>
      </c>
      <c r="E177" s="15" t="s">
        <v>478</v>
      </c>
      <c r="F177" s="16">
        <f t="shared" si="18"/>
        <v>1.75</v>
      </c>
      <c r="G177" s="15" t="s">
        <v>48</v>
      </c>
      <c r="H177" s="17">
        <v>87.75</v>
      </c>
      <c r="I177" s="17">
        <f t="shared" si="19"/>
        <v>79.106625</v>
      </c>
      <c r="J177" s="24">
        <f t="shared" si="22"/>
        <v>74.16</v>
      </c>
      <c r="K177" s="25">
        <v>0.0985</v>
      </c>
      <c r="L177" s="26">
        <v>0.25</v>
      </c>
      <c r="M177" s="24">
        <v>98.88</v>
      </c>
      <c r="N177" s="27">
        <f t="shared" si="20"/>
        <v>173.04</v>
      </c>
      <c r="O177" s="15"/>
      <c r="P177" s="15" t="s">
        <v>78</v>
      </c>
      <c r="Q177" s="15" t="s">
        <v>409</v>
      </c>
      <c r="R177" s="15" t="s">
        <v>32</v>
      </c>
      <c r="S177" s="15" t="s">
        <v>21</v>
      </c>
      <c r="T177" s="16">
        <v>1.75</v>
      </c>
      <c r="U177" s="17">
        <f t="shared" si="21"/>
        <v>173.04</v>
      </c>
    </row>
    <row r="178" ht="45" customHeight="1" spans="1:21">
      <c r="A178" s="14" t="s">
        <v>26</v>
      </c>
      <c r="B178" s="15" t="s">
        <v>479</v>
      </c>
      <c r="C178" s="15" t="s">
        <v>28</v>
      </c>
      <c r="D178" s="15" t="s">
        <v>480</v>
      </c>
      <c r="E178" s="15" t="s">
        <v>481</v>
      </c>
      <c r="F178" s="16">
        <f t="shared" si="18"/>
        <v>37.42</v>
      </c>
      <c r="G178" s="15" t="s">
        <v>31</v>
      </c>
      <c r="H178" s="17">
        <v>75.99</v>
      </c>
      <c r="I178" s="17">
        <f t="shared" si="19"/>
        <v>68.504985</v>
      </c>
      <c r="J178" s="24">
        <f t="shared" si="22"/>
        <v>64.21875</v>
      </c>
      <c r="K178" s="25">
        <v>0.0985</v>
      </c>
      <c r="L178" s="26">
        <v>0.25</v>
      </c>
      <c r="M178" s="24">
        <f>ROUND(I178,2)+(ROUND(I178,2)*L178)</f>
        <v>85.625</v>
      </c>
      <c r="N178" s="27">
        <f t="shared" si="20"/>
        <v>3204.27</v>
      </c>
      <c r="O178" s="15"/>
      <c r="P178" s="15" t="s">
        <v>78</v>
      </c>
      <c r="Q178" s="15" t="s">
        <v>409</v>
      </c>
      <c r="R178" s="15" t="s">
        <v>32</v>
      </c>
      <c r="S178" s="15" t="s">
        <v>21</v>
      </c>
      <c r="T178" s="16">
        <v>37.42</v>
      </c>
      <c r="U178" s="17">
        <f t="shared" si="21"/>
        <v>3204.2746</v>
      </c>
    </row>
    <row r="179" ht="45" customHeight="1" spans="1:21">
      <c r="A179" s="14" t="s">
        <v>26</v>
      </c>
      <c r="B179" s="15" t="s">
        <v>482</v>
      </c>
      <c r="C179" s="15" t="s">
        <v>28</v>
      </c>
      <c r="D179" s="15" t="s">
        <v>483</v>
      </c>
      <c r="E179" s="15" t="s">
        <v>484</v>
      </c>
      <c r="F179" s="16">
        <f t="shared" si="18"/>
        <v>254.8</v>
      </c>
      <c r="G179" s="15" t="s">
        <v>31</v>
      </c>
      <c r="H179" s="17">
        <v>44.26</v>
      </c>
      <c r="I179" s="17">
        <f t="shared" si="19"/>
        <v>39.90039</v>
      </c>
      <c r="J179" s="24">
        <f t="shared" si="22"/>
        <v>37.4025</v>
      </c>
      <c r="K179" s="25">
        <v>0.0985</v>
      </c>
      <c r="L179" s="26">
        <v>0.25</v>
      </c>
      <c r="M179" s="24">
        <v>49.87</v>
      </c>
      <c r="N179" s="27">
        <f t="shared" si="20"/>
        <v>12706.88</v>
      </c>
      <c r="O179" s="15"/>
      <c r="P179" s="15" t="s">
        <v>78</v>
      </c>
      <c r="Q179" s="15" t="s">
        <v>409</v>
      </c>
      <c r="R179" s="15" t="s">
        <v>32</v>
      </c>
      <c r="S179" s="15" t="s">
        <v>21</v>
      </c>
      <c r="T179" s="16">
        <v>254.8</v>
      </c>
      <c r="U179" s="17">
        <f t="shared" si="21"/>
        <v>12706.876</v>
      </c>
    </row>
    <row r="180" ht="45" customHeight="1" spans="1:21">
      <c r="A180" s="14" t="s">
        <v>26</v>
      </c>
      <c r="B180" s="15" t="s">
        <v>485</v>
      </c>
      <c r="C180" s="15" t="s">
        <v>28</v>
      </c>
      <c r="D180" s="15" t="s">
        <v>486</v>
      </c>
      <c r="E180" s="15" t="s">
        <v>487</v>
      </c>
      <c r="F180" s="16">
        <f t="shared" si="18"/>
        <v>27.74</v>
      </c>
      <c r="G180" s="15" t="s">
        <v>31</v>
      </c>
      <c r="H180" s="17">
        <v>76.96</v>
      </c>
      <c r="I180" s="17">
        <f t="shared" si="19"/>
        <v>69.3748224</v>
      </c>
      <c r="J180" s="24">
        <f t="shared" si="22"/>
        <v>65.04</v>
      </c>
      <c r="K180" s="25">
        <v>0.09856</v>
      </c>
      <c r="L180" s="26">
        <v>0.25</v>
      </c>
      <c r="M180" s="24">
        <v>86.72</v>
      </c>
      <c r="N180" s="27">
        <f t="shared" si="20"/>
        <v>2405.61</v>
      </c>
      <c r="O180" s="15"/>
      <c r="P180" s="15" t="s">
        <v>78</v>
      </c>
      <c r="Q180" s="15" t="s">
        <v>409</v>
      </c>
      <c r="R180" s="15" t="s">
        <v>32</v>
      </c>
      <c r="S180" s="15" t="s">
        <v>21</v>
      </c>
      <c r="T180" s="16">
        <v>27.74</v>
      </c>
      <c r="U180" s="17">
        <f t="shared" si="21"/>
        <v>2405.6128</v>
      </c>
    </row>
    <row r="181" ht="45" customHeight="1" spans="1:21">
      <c r="A181" s="14" t="s">
        <v>26</v>
      </c>
      <c r="B181" s="15" t="s">
        <v>488</v>
      </c>
      <c r="C181" s="15" t="s">
        <v>42</v>
      </c>
      <c r="D181" s="15" t="s">
        <v>489</v>
      </c>
      <c r="E181" s="15" t="s">
        <v>490</v>
      </c>
      <c r="F181" s="16">
        <f t="shared" si="18"/>
        <v>4.88</v>
      </c>
      <c r="G181" s="15" t="s">
        <v>31</v>
      </c>
      <c r="H181" s="17">
        <v>184.85</v>
      </c>
      <c r="I181" s="17">
        <f t="shared" si="19"/>
        <v>166.642275</v>
      </c>
      <c r="J181" s="24">
        <f t="shared" si="22"/>
        <v>156.225</v>
      </c>
      <c r="K181" s="25">
        <v>0.0985</v>
      </c>
      <c r="L181" s="26">
        <v>0.25</v>
      </c>
      <c r="M181" s="24">
        <f>ROUND(I181,2)+(ROUND(I181,2)*L181)</f>
        <v>208.3</v>
      </c>
      <c r="N181" s="27">
        <f t="shared" si="20"/>
        <v>1016.5</v>
      </c>
      <c r="O181" s="15"/>
      <c r="P181" s="15" t="s">
        <v>78</v>
      </c>
      <c r="Q181" s="15" t="s">
        <v>409</v>
      </c>
      <c r="R181" s="15" t="s">
        <v>32</v>
      </c>
      <c r="S181" s="15" t="s">
        <v>21</v>
      </c>
      <c r="T181" s="16">
        <v>4.88</v>
      </c>
      <c r="U181" s="17">
        <f t="shared" si="21"/>
        <v>1016.504</v>
      </c>
    </row>
    <row r="182" ht="45" customHeight="1" spans="1:21">
      <c r="A182" s="14" t="s">
        <v>26</v>
      </c>
      <c r="B182" s="15" t="s">
        <v>491</v>
      </c>
      <c r="C182" s="15" t="s">
        <v>42</v>
      </c>
      <c r="D182" s="15" t="s">
        <v>492</v>
      </c>
      <c r="E182" s="15" t="s">
        <v>493</v>
      </c>
      <c r="F182" s="16">
        <f t="shared" si="18"/>
        <v>7.5</v>
      </c>
      <c r="G182" s="15" t="s">
        <v>31</v>
      </c>
      <c r="H182" s="17">
        <v>184.85</v>
      </c>
      <c r="I182" s="17">
        <f t="shared" si="19"/>
        <v>166.642275</v>
      </c>
      <c r="J182" s="24">
        <f t="shared" si="22"/>
        <v>156.225</v>
      </c>
      <c r="K182" s="25">
        <v>0.0985</v>
      </c>
      <c r="L182" s="26">
        <v>0.25</v>
      </c>
      <c r="M182" s="24">
        <f>ROUND(I182,2)+(ROUND(I182,2)*L182)</f>
        <v>208.3</v>
      </c>
      <c r="N182" s="27">
        <f t="shared" si="20"/>
        <v>1562.25</v>
      </c>
      <c r="O182" s="15"/>
      <c r="P182" s="15" t="s">
        <v>78</v>
      </c>
      <c r="Q182" s="15" t="s">
        <v>409</v>
      </c>
      <c r="R182" s="15" t="s">
        <v>32</v>
      </c>
      <c r="S182" s="15" t="s">
        <v>21</v>
      </c>
      <c r="T182" s="16">
        <v>7.5</v>
      </c>
      <c r="U182" s="17">
        <f t="shared" si="21"/>
        <v>1562.25</v>
      </c>
    </row>
    <row r="183" ht="45" customHeight="1" spans="1:21">
      <c r="A183" s="14" t="s">
        <v>26</v>
      </c>
      <c r="B183" s="15" t="s">
        <v>494</v>
      </c>
      <c r="C183" s="15" t="s">
        <v>42</v>
      </c>
      <c r="D183" s="15" t="s">
        <v>495</v>
      </c>
      <c r="E183" s="15" t="s">
        <v>496</v>
      </c>
      <c r="F183" s="16">
        <f t="shared" si="18"/>
        <v>21.96</v>
      </c>
      <c r="G183" s="15" t="s">
        <v>89</v>
      </c>
      <c r="H183" s="17">
        <v>138.5</v>
      </c>
      <c r="I183" s="17">
        <f t="shared" si="19"/>
        <v>124.85775</v>
      </c>
      <c r="J183" s="24">
        <f t="shared" si="22"/>
        <v>117.0525</v>
      </c>
      <c r="K183" s="25">
        <v>0.0985</v>
      </c>
      <c r="L183" s="26">
        <v>0.25</v>
      </c>
      <c r="M183" s="24">
        <v>156.07</v>
      </c>
      <c r="N183" s="27">
        <f t="shared" si="20"/>
        <v>3427.3</v>
      </c>
      <c r="O183" s="15"/>
      <c r="P183" s="15" t="s">
        <v>78</v>
      </c>
      <c r="Q183" s="15" t="s">
        <v>409</v>
      </c>
      <c r="R183" s="15" t="s">
        <v>32</v>
      </c>
      <c r="S183" s="15" t="s">
        <v>21</v>
      </c>
      <c r="T183" s="16">
        <v>21.96</v>
      </c>
      <c r="U183" s="17">
        <f t="shared" si="21"/>
        <v>3427.2972</v>
      </c>
    </row>
    <row r="184" ht="45" customHeight="1" spans="1:21">
      <c r="A184" s="14" t="s">
        <v>26</v>
      </c>
      <c r="B184" s="15" t="s">
        <v>497</v>
      </c>
      <c r="C184" s="15" t="s">
        <v>28</v>
      </c>
      <c r="D184" s="15" t="s">
        <v>498</v>
      </c>
      <c r="E184" s="15" t="s">
        <v>499</v>
      </c>
      <c r="F184" s="16">
        <f t="shared" si="18"/>
        <v>344.81</v>
      </c>
      <c r="G184" s="15" t="s">
        <v>31</v>
      </c>
      <c r="H184" s="17">
        <v>14.72</v>
      </c>
      <c r="I184" s="17">
        <f t="shared" si="19"/>
        <v>13.27008</v>
      </c>
      <c r="J184" s="24">
        <f t="shared" si="22"/>
        <v>12.435</v>
      </c>
      <c r="K184" s="25">
        <v>0.0985</v>
      </c>
      <c r="L184" s="26">
        <v>0.25</v>
      </c>
      <c r="M184" s="24">
        <v>16.58</v>
      </c>
      <c r="N184" s="27">
        <f t="shared" si="20"/>
        <v>5716.95</v>
      </c>
      <c r="O184" s="15"/>
      <c r="P184" s="15" t="s">
        <v>78</v>
      </c>
      <c r="Q184" s="15" t="s">
        <v>409</v>
      </c>
      <c r="R184" s="15" t="s">
        <v>32</v>
      </c>
      <c r="S184" s="15" t="s">
        <v>21</v>
      </c>
      <c r="T184" s="16">
        <v>344.81</v>
      </c>
      <c r="U184" s="17">
        <f t="shared" si="21"/>
        <v>5716.9498</v>
      </c>
    </row>
    <row r="185" ht="45" customHeight="1" spans="1:21">
      <c r="A185" s="14" t="s">
        <v>26</v>
      </c>
      <c r="B185" s="15" t="s">
        <v>500</v>
      </c>
      <c r="C185" s="15" t="s">
        <v>28</v>
      </c>
      <c r="D185" s="15" t="s">
        <v>501</v>
      </c>
      <c r="E185" s="15" t="s">
        <v>502</v>
      </c>
      <c r="F185" s="16">
        <f t="shared" si="18"/>
        <v>8.06</v>
      </c>
      <c r="G185" s="15" t="s">
        <v>48</v>
      </c>
      <c r="H185" s="17">
        <v>35.53</v>
      </c>
      <c r="I185" s="17">
        <f t="shared" si="19"/>
        <v>32.030295</v>
      </c>
      <c r="J185" s="24">
        <f t="shared" si="22"/>
        <v>30.015</v>
      </c>
      <c r="K185" s="25">
        <v>0.0985</v>
      </c>
      <c r="L185" s="26">
        <v>0.25</v>
      </c>
      <c r="M185" s="24">
        <v>40.02</v>
      </c>
      <c r="N185" s="27">
        <f t="shared" si="20"/>
        <v>322.56</v>
      </c>
      <c r="O185" s="15"/>
      <c r="P185" s="15" t="s">
        <v>78</v>
      </c>
      <c r="Q185" s="15" t="s">
        <v>409</v>
      </c>
      <c r="R185" s="15" t="s">
        <v>32</v>
      </c>
      <c r="S185" s="15" t="s">
        <v>21</v>
      </c>
      <c r="T185" s="16">
        <v>8.06</v>
      </c>
      <c r="U185" s="17">
        <f t="shared" si="21"/>
        <v>322.5612</v>
      </c>
    </row>
    <row r="186" ht="45" customHeight="1" spans="1:21">
      <c r="A186" s="14" t="s">
        <v>26</v>
      </c>
      <c r="B186" s="15" t="s">
        <v>503</v>
      </c>
      <c r="C186" s="15" t="s">
        <v>28</v>
      </c>
      <c r="D186" s="15" t="s">
        <v>504</v>
      </c>
      <c r="E186" s="15" t="s">
        <v>505</v>
      </c>
      <c r="F186" s="16">
        <f t="shared" si="18"/>
        <v>2004.59</v>
      </c>
      <c r="G186" s="15" t="s">
        <v>31</v>
      </c>
      <c r="H186" s="17">
        <v>17.61</v>
      </c>
      <c r="I186" s="17">
        <f t="shared" si="19"/>
        <v>15.8748867</v>
      </c>
      <c r="J186" s="24">
        <f t="shared" si="22"/>
        <v>14.878125</v>
      </c>
      <c r="K186" s="25">
        <v>0.09853</v>
      </c>
      <c r="L186" s="26">
        <v>0.25</v>
      </c>
      <c r="M186" s="24">
        <f>ROUND(I186,2)+(ROUND(I186,2)*L186)</f>
        <v>19.8375</v>
      </c>
      <c r="N186" s="27">
        <f t="shared" si="20"/>
        <v>39771.07</v>
      </c>
      <c r="O186" s="15"/>
      <c r="P186" s="15" t="s">
        <v>80</v>
      </c>
      <c r="Q186" s="15" t="s">
        <v>506</v>
      </c>
      <c r="R186" s="15" t="s">
        <v>32</v>
      </c>
      <c r="S186" s="15" t="s">
        <v>21</v>
      </c>
      <c r="T186" s="16">
        <v>2004.59</v>
      </c>
      <c r="U186" s="17">
        <f t="shared" si="21"/>
        <v>39771.0656</v>
      </c>
    </row>
    <row r="187" ht="45" customHeight="1" spans="1:21">
      <c r="A187" s="14" t="s">
        <v>26</v>
      </c>
      <c r="B187" s="15" t="s">
        <v>507</v>
      </c>
      <c r="C187" s="15" t="s">
        <v>42</v>
      </c>
      <c r="D187" s="15" t="s">
        <v>508</v>
      </c>
      <c r="E187" s="15" t="s">
        <v>509</v>
      </c>
      <c r="F187" s="16">
        <f t="shared" si="18"/>
        <v>1902.96</v>
      </c>
      <c r="G187" s="15" t="s">
        <v>31</v>
      </c>
      <c r="H187" s="17">
        <v>11.82</v>
      </c>
      <c r="I187" s="17">
        <f t="shared" si="19"/>
        <v>10.65573</v>
      </c>
      <c r="J187" s="24">
        <f t="shared" si="22"/>
        <v>9.99</v>
      </c>
      <c r="K187" s="25">
        <v>0.0985</v>
      </c>
      <c r="L187" s="26">
        <v>0.25</v>
      </c>
      <c r="M187" s="24">
        <v>13.32</v>
      </c>
      <c r="N187" s="27">
        <f t="shared" si="20"/>
        <v>25347.43</v>
      </c>
      <c r="O187" s="15"/>
      <c r="P187" s="15" t="s">
        <v>80</v>
      </c>
      <c r="Q187" s="15" t="s">
        <v>506</v>
      </c>
      <c r="R187" s="15" t="s">
        <v>32</v>
      </c>
      <c r="S187" s="15" t="s">
        <v>21</v>
      </c>
      <c r="T187" s="16">
        <v>1902.96</v>
      </c>
      <c r="U187" s="17">
        <f t="shared" si="21"/>
        <v>25347.4272</v>
      </c>
    </row>
    <row r="188" ht="45" customHeight="1" spans="1:21">
      <c r="A188" s="14" t="s">
        <v>26</v>
      </c>
      <c r="B188" s="15" t="s">
        <v>510</v>
      </c>
      <c r="C188" s="15" t="s">
        <v>28</v>
      </c>
      <c r="D188" s="15" t="s">
        <v>511</v>
      </c>
      <c r="E188" s="15" t="s">
        <v>512</v>
      </c>
      <c r="F188" s="16">
        <f t="shared" si="18"/>
        <v>126.01</v>
      </c>
      <c r="G188" s="15" t="s">
        <v>31</v>
      </c>
      <c r="H188" s="17">
        <v>18.18</v>
      </c>
      <c r="I188" s="17">
        <f t="shared" si="19"/>
        <v>16.38927</v>
      </c>
      <c r="J188" s="24">
        <f t="shared" si="22"/>
        <v>15.365625</v>
      </c>
      <c r="K188" s="25">
        <v>0.0985</v>
      </c>
      <c r="L188" s="26">
        <v>0.25</v>
      </c>
      <c r="M188" s="24">
        <f>ROUND(I188,2)+(ROUND(I188,2)*L188)</f>
        <v>20.4875</v>
      </c>
      <c r="N188" s="27">
        <f t="shared" si="20"/>
        <v>2581.94</v>
      </c>
      <c r="O188" s="15"/>
      <c r="P188" s="15" t="s">
        <v>80</v>
      </c>
      <c r="Q188" s="15" t="s">
        <v>506</v>
      </c>
      <c r="R188" s="15" t="s">
        <v>32</v>
      </c>
      <c r="S188" s="15" t="s">
        <v>21</v>
      </c>
      <c r="T188" s="16">
        <v>126.01</v>
      </c>
      <c r="U188" s="17">
        <f t="shared" si="21"/>
        <v>2581.9449</v>
      </c>
    </row>
    <row r="189" ht="45" customHeight="1" spans="1:21">
      <c r="A189" s="14" t="s">
        <v>26</v>
      </c>
      <c r="B189" s="15" t="s">
        <v>513</v>
      </c>
      <c r="C189" s="15" t="s">
        <v>42</v>
      </c>
      <c r="D189" s="15" t="s">
        <v>514</v>
      </c>
      <c r="E189" s="15" t="s">
        <v>515</v>
      </c>
      <c r="F189" s="16">
        <f t="shared" si="18"/>
        <v>12.72</v>
      </c>
      <c r="G189" s="15" t="s">
        <v>31</v>
      </c>
      <c r="H189" s="17">
        <v>18.18</v>
      </c>
      <c r="I189" s="17">
        <f t="shared" si="19"/>
        <v>16.38927</v>
      </c>
      <c r="J189" s="24">
        <f t="shared" si="22"/>
        <v>15.365625</v>
      </c>
      <c r="K189" s="25">
        <v>0.0985</v>
      </c>
      <c r="L189" s="26">
        <v>0.25</v>
      </c>
      <c r="M189" s="24">
        <f>ROUND(I189,2)+(ROUND(I189,2)*L189)</f>
        <v>20.4875</v>
      </c>
      <c r="N189" s="27">
        <f t="shared" si="20"/>
        <v>260.63</v>
      </c>
      <c r="O189" s="15"/>
      <c r="P189" s="15" t="s">
        <v>80</v>
      </c>
      <c r="Q189" s="15" t="s">
        <v>506</v>
      </c>
      <c r="R189" s="15" t="s">
        <v>32</v>
      </c>
      <c r="S189" s="15" t="s">
        <v>21</v>
      </c>
      <c r="T189" s="16">
        <v>12.72</v>
      </c>
      <c r="U189" s="17">
        <f t="shared" si="21"/>
        <v>260.6328</v>
      </c>
    </row>
    <row r="190" ht="45" customHeight="1" spans="1:21">
      <c r="A190" s="14" t="s">
        <v>26</v>
      </c>
      <c r="B190" s="15" t="s">
        <v>516</v>
      </c>
      <c r="C190" s="15" t="s">
        <v>42</v>
      </c>
      <c r="D190" s="15" t="s">
        <v>517</v>
      </c>
      <c r="E190" s="15" t="s">
        <v>518</v>
      </c>
      <c r="F190" s="16">
        <f t="shared" si="18"/>
        <v>101.63</v>
      </c>
      <c r="G190" s="15" t="s">
        <v>31</v>
      </c>
      <c r="H190" s="17">
        <v>132.97</v>
      </c>
      <c r="I190" s="17">
        <f t="shared" si="19"/>
        <v>119.872455</v>
      </c>
      <c r="J190" s="24">
        <f t="shared" si="22"/>
        <v>112.3725</v>
      </c>
      <c r="K190" s="25">
        <v>0.0985</v>
      </c>
      <c r="L190" s="26">
        <v>0.25</v>
      </c>
      <c r="M190" s="24">
        <v>149.83</v>
      </c>
      <c r="N190" s="27">
        <f t="shared" si="20"/>
        <v>15227.22</v>
      </c>
      <c r="O190" s="15"/>
      <c r="P190" s="15" t="s">
        <v>80</v>
      </c>
      <c r="Q190" s="15" t="s">
        <v>506</v>
      </c>
      <c r="R190" s="15" t="s">
        <v>32</v>
      </c>
      <c r="S190" s="15" t="s">
        <v>21</v>
      </c>
      <c r="T190" s="16">
        <v>101.63</v>
      </c>
      <c r="U190" s="17">
        <f t="shared" si="21"/>
        <v>15227.2229</v>
      </c>
    </row>
    <row r="191" ht="52.5" customHeight="1" spans="1:21">
      <c r="A191" s="14" t="s">
        <v>26</v>
      </c>
      <c r="B191" s="15" t="s">
        <v>519</v>
      </c>
      <c r="C191" s="15" t="s">
        <v>28</v>
      </c>
      <c r="D191" s="15" t="s">
        <v>520</v>
      </c>
      <c r="E191" s="15" t="s">
        <v>521</v>
      </c>
      <c r="F191" s="16">
        <f t="shared" si="18"/>
        <v>593.16</v>
      </c>
      <c r="G191" s="15" t="s">
        <v>31</v>
      </c>
      <c r="H191" s="17">
        <v>26.01</v>
      </c>
      <c r="I191" s="17">
        <f t="shared" si="19"/>
        <v>23.448015</v>
      </c>
      <c r="J191" s="24">
        <f t="shared" si="22"/>
        <v>21.975</v>
      </c>
      <c r="K191" s="25">
        <v>0.0985</v>
      </c>
      <c r="L191" s="26">
        <v>0.25</v>
      </c>
      <c r="M191" s="24">
        <v>29.3</v>
      </c>
      <c r="N191" s="27">
        <f t="shared" si="20"/>
        <v>17379.59</v>
      </c>
      <c r="O191" s="15"/>
      <c r="P191" s="15" t="s">
        <v>80</v>
      </c>
      <c r="Q191" s="15" t="s">
        <v>506</v>
      </c>
      <c r="R191" s="15" t="s">
        <v>32</v>
      </c>
      <c r="S191" s="15" t="s">
        <v>21</v>
      </c>
      <c r="T191" s="16">
        <v>593.16</v>
      </c>
      <c r="U191" s="17">
        <f t="shared" si="21"/>
        <v>17379.588</v>
      </c>
    </row>
    <row r="192" ht="45" customHeight="1" spans="1:21">
      <c r="A192" s="14" t="s">
        <v>26</v>
      </c>
      <c r="B192" s="15" t="s">
        <v>522</v>
      </c>
      <c r="C192" s="15" t="s">
        <v>28</v>
      </c>
      <c r="D192" s="15" t="s">
        <v>523</v>
      </c>
      <c r="E192" s="15" t="s">
        <v>524</v>
      </c>
      <c r="F192" s="16">
        <f t="shared" si="18"/>
        <v>442.55</v>
      </c>
      <c r="G192" s="15" t="s">
        <v>31</v>
      </c>
      <c r="H192" s="17">
        <v>20.45</v>
      </c>
      <c r="I192" s="17">
        <f t="shared" si="19"/>
        <v>18.43363</v>
      </c>
      <c r="J192" s="24">
        <f t="shared" si="22"/>
        <v>17.278125</v>
      </c>
      <c r="K192" s="25">
        <v>0.0986</v>
      </c>
      <c r="L192" s="26">
        <v>0.25</v>
      </c>
      <c r="M192" s="24">
        <f>ROUND(I192,2)+(ROUND(I192,2)*L192)</f>
        <v>23.0375</v>
      </c>
      <c r="N192" s="27">
        <f t="shared" si="20"/>
        <v>10196.35</v>
      </c>
      <c r="O192" s="15"/>
      <c r="P192" s="15" t="s">
        <v>80</v>
      </c>
      <c r="Q192" s="15" t="s">
        <v>506</v>
      </c>
      <c r="R192" s="15" t="s">
        <v>32</v>
      </c>
      <c r="S192" s="15" t="s">
        <v>21</v>
      </c>
      <c r="T192" s="16">
        <v>442.55</v>
      </c>
      <c r="U192" s="17">
        <f t="shared" si="21"/>
        <v>10196.352</v>
      </c>
    </row>
    <row r="193" ht="45" customHeight="1" spans="1:21">
      <c r="A193" s="14" t="s">
        <v>26</v>
      </c>
      <c r="B193" s="15" t="s">
        <v>525</v>
      </c>
      <c r="C193" s="15" t="s">
        <v>28</v>
      </c>
      <c r="D193" s="15" t="s">
        <v>526</v>
      </c>
      <c r="E193" s="15" t="s">
        <v>527</v>
      </c>
      <c r="F193" s="16">
        <f t="shared" si="18"/>
        <v>442.55</v>
      </c>
      <c r="G193" s="15" t="s">
        <v>31</v>
      </c>
      <c r="H193" s="17">
        <v>14.06</v>
      </c>
      <c r="I193" s="17">
        <f t="shared" si="19"/>
        <v>12.67509</v>
      </c>
      <c r="J193" s="24">
        <f t="shared" si="22"/>
        <v>11.88</v>
      </c>
      <c r="K193" s="25">
        <v>0.0985</v>
      </c>
      <c r="L193" s="26">
        <v>0.25</v>
      </c>
      <c r="M193" s="24">
        <v>15.84</v>
      </c>
      <c r="N193" s="27">
        <f t="shared" si="20"/>
        <v>7009.99</v>
      </c>
      <c r="O193" s="15"/>
      <c r="P193" s="15" t="s">
        <v>80</v>
      </c>
      <c r="Q193" s="15" t="s">
        <v>506</v>
      </c>
      <c r="R193" s="15" t="s">
        <v>32</v>
      </c>
      <c r="S193" s="15" t="s">
        <v>21</v>
      </c>
      <c r="T193" s="16">
        <v>442.55</v>
      </c>
      <c r="U193" s="17">
        <f t="shared" si="21"/>
        <v>7009.992</v>
      </c>
    </row>
    <row r="194" ht="51" customHeight="1" spans="1:21">
      <c r="A194" s="14" t="s">
        <v>26</v>
      </c>
      <c r="B194" s="15" t="s">
        <v>528</v>
      </c>
      <c r="C194" s="15" t="s">
        <v>28</v>
      </c>
      <c r="D194" s="15" t="s">
        <v>529</v>
      </c>
      <c r="E194" s="15" t="s">
        <v>530</v>
      </c>
      <c r="F194" s="16">
        <f t="shared" si="18"/>
        <v>1285.48</v>
      </c>
      <c r="G194" s="15" t="s">
        <v>31</v>
      </c>
      <c r="H194" s="17">
        <v>15.96</v>
      </c>
      <c r="I194" s="17">
        <f t="shared" si="19"/>
        <v>14.38794</v>
      </c>
      <c r="J194" s="24">
        <f t="shared" si="22"/>
        <v>13.485</v>
      </c>
      <c r="K194" s="25">
        <v>0.0985</v>
      </c>
      <c r="L194" s="26">
        <v>0.25</v>
      </c>
      <c r="M194" s="24">
        <v>17.98</v>
      </c>
      <c r="N194" s="27">
        <f t="shared" si="20"/>
        <v>23112.93</v>
      </c>
      <c r="O194" s="15"/>
      <c r="P194" s="15" t="s">
        <v>80</v>
      </c>
      <c r="Q194" s="15" t="s">
        <v>506</v>
      </c>
      <c r="R194" s="15" t="s">
        <v>32</v>
      </c>
      <c r="S194" s="15" t="s">
        <v>21</v>
      </c>
      <c r="T194" s="16">
        <v>1285.48</v>
      </c>
      <c r="U194" s="17">
        <f t="shared" si="21"/>
        <v>23112.9304</v>
      </c>
    </row>
    <row r="195" ht="45" customHeight="1" spans="1:21">
      <c r="A195" s="14" t="s">
        <v>26</v>
      </c>
      <c r="B195" s="15" t="s">
        <v>531</v>
      </c>
      <c r="C195" s="15" t="s">
        <v>28</v>
      </c>
      <c r="D195" s="15" t="s">
        <v>532</v>
      </c>
      <c r="E195" s="15" t="s">
        <v>533</v>
      </c>
      <c r="F195" s="16">
        <f t="shared" si="18"/>
        <v>98.05</v>
      </c>
      <c r="G195" s="15" t="s">
        <v>31</v>
      </c>
      <c r="H195" s="17">
        <v>18.25</v>
      </c>
      <c r="I195" s="17">
        <f t="shared" si="19"/>
        <v>16.452375</v>
      </c>
      <c r="J195" s="24">
        <f t="shared" si="22"/>
        <v>15.421875</v>
      </c>
      <c r="K195" s="25">
        <v>0.0985</v>
      </c>
      <c r="L195" s="26">
        <v>0.25</v>
      </c>
      <c r="M195" s="24">
        <f>ROUND(I195,2)+(ROUND(I195,2)*L195)</f>
        <v>20.5625</v>
      </c>
      <c r="N195" s="27">
        <f t="shared" si="20"/>
        <v>2015.91</v>
      </c>
      <c r="O195" s="15"/>
      <c r="P195" s="15" t="s">
        <v>80</v>
      </c>
      <c r="Q195" s="15" t="s">
        <v>506</v>
      </c>
      <c r="R195" s="15" t="s">
        <v>32</v>
      </c>
      <c r="S195" s="15" t="s">
        <v>21</v>
      </c>
      <c r="T195" s="16">
        <v>98.05</v>
      </c>
      <c r="U195" s="17">
        <f t="shared" si="21"/>
        <v>2015.908</v>
      </c>
    </row>
    <row r="196" ht="45" customHeight="1" spans="1:21">
      <c r="A196" s="14" t="s">
        <v>26</v>
      </c>
      <c r="B196" s="15" t="s">
        <v>534</v>
      </c>
      <c r="C196" s="15" t="s">
        <v>28</v>
      </c>
      <c r="D196" s="15" t="s">
        <v>535</v>
      </c>
      <c r="E196" s="15" t="s">
        <v>536</v>
      </c>
      <c r="F196" s="16">
        <f t="shared" si="18"/>
        <v>98.05</v>
      </c>
      <c r="G196" s="15" t="s">
        <v>31</v>
      </c>
      <c r="H196" s="17">
        <v>11.82</v>
      </c>
      <c r="I196" s="17">
        <f t="shared" si="19"/>
        <v>10.65573</v>
      </c>
      <c r="J196" s="24">
        <f t="shared" si="22"/>
        <v>9.99</v>
      </c>
      <c r="K196" s="25">
        <v>0.0985</v>
      </c>
      <c r="L196" s="26">
        <v>0.25</v>
      </c>
      <c r="M196" s="24">
        <v>13.32</v>
      </c>
      <c r="N196" s="27">
        <f t="shared" si="20"/>
        <v>1306.03</v>
      </c>
      <c r="O196" s="15"/>
      <c r="P196" s="15" t="s">
        <v>80</v>
      </c>
      <c r="Q196" s="15" t="s">
        <v>506</v>
      </c>
      <c r="R196" s="15" t="s">
        <v>32</v>
      </c>
      <c r="S196" s="15" t="s">
        <v>21</v>
      </c>
      <c r="T196" s="16">
        <v>98.05</v>
      </c>
      <c r="U196" s="17">
        <f t="shared" si="21"/>
        <v>1306.026</v>
      </c>
    </row>
    <row r="197" ht="45" customHeight="1" spans="1:21">
      <c r="A197" s="14" t="s">
        <v>26</v>
      </c>
      <c r="B197" s="15" t="s">
        <v>537</v>
      </c>
      <c r="C197" s="15" t="s">
        <v>28</v>
      </c>
      <c r="D197" s="15" t="s">
        <v>538</v>
      </c>
      <c r="E197" s="15" t="s">
        <v>539</v>
      </c>
      <c r="F197" s="16">
        <f t="shared" si="18"/>
        <v>27.6</v>
      </c>
      <c r="G197" s="15" t="s">
        <v>48</v>
      </c>
      <c r="H197" s="17">
        <v>10.25</v>
      </c>
      <c r="I197" s="17">
        <f t="shared" si="19"/>
        <v>9.240375</v>
      </c>
      <c r="J197" s="24">
        <f t="shared" si="22"/>
        <v>8.655</v>
      </c>
      <c r="K197" s="25">
        <v>0.0985</v>
      </c>
      <c r="L197" s="26">
        <v>0.25</v>
      </c>
      <c r="M197" s="24">
        <v>11.54</v>
      </c>
      <c r="N197" s="27">
        <f t="shared" si="20"/>
        <v>318.5</v>
      </c>
      <c r="O197" s="15"/>
      <c r="P197" s="15" t="s">
        <v>540</v>
      </c>
      <c r="Q197" s="15" t="s">
        <v>541</v>
      </c>
      <c r="R197" s="15" t="s">
        <v>32</v>
      </c>
      <c r="S197" s="15" t="s">
        <v>21</v>
      </c>
      <c r="T197" s="16">
        <v>27.6</v>
      </c>
      <c r="U197" s="17">
        <f t="shared" si="21"/>
        <v>318.504</v>
      </c>
    </row>
    <row r="198" ht="45" customHeight="1" spans="1:21">
      <c r="A198" s="14" t="s">
        <v>26</v>
      </c>
      <c r="B198" s="15" t="s">
        <v>542</v>
      </c>
      <c r="C198" s="15" t="s">
        <v>28</v>
      </c>
      <c r="D198" s="15" t="s">
        <v>543</v>
      </c>
      <c r="E198" s="15" t="s">
        <v>544</v>
      </c>
      <c r="F198" s="16">
        <f t="shared" si="18"/>
        <v>166.9</v>
      </c>
      <c r="G198" s="15" t="s">
        <v>48</v>
      </c>
      <c r="H198" s="17">
        <v>22.5</v>
      </c>
      <c r="I198" s="17">
        <f t="shared" si="19"/>
        <v>20.28375</v>
      </c>
      <c r="J198" s="24">
        <f t="shared" si="22"/>
        <v>19.005</v>
      </c>
      <c r="K198" s="25">
        <v>0.0985</v>
      </c>
      <c r="L198" s="26">
        <v>0.25</v>
      </c>
      <c r="M198" s="24">
        <v>25.34</v>
      </c>
      <c r="N198" s="27">
        <f t="shared" si="20"/>
        <v>4229.25</v>
      </c>
      <c r="O198" s="15"/>
      <c r="P198" s="15" t="s">
        <v>540</v>
      </c>
      <c r="Q198" s="15" t="s">
        <v>541</v>
      </c>
      <c r="R198" s="15" t="s">
        <v>32</v>
      </c>
      <c r="S198" s="15" t="s">
        <v>21</v>
      </c>
      <c r="T198" s="16">
        <v>166.9</v>
      </c>
      <c r="U198" s="17">
        <f t="shared" si="21"/>
        <v>4229.246</v>
      </c>
    </row>
    <row r="199" ht="45" customHeight="1" spans="1:21">
      <c r="A199" s="14" t="s">
        <v>26</v>
      </c>
      <c r="B199" s="15" t="s">
        <v>545</v>
      </c>
      <c r="C199" s="15" t="s">
        <v>28</v>
      </c>
      <c r="D199" s="15" t="s">
        <v>546</v>
      </c>
      <c r="E199" s="15" t="s">
        <v>547</v>
      </c>
      <c r="F199" s="16">
        <f t="shared" si="18"/>
        <v>81.05</v>
      </c>
      <c r="G199" s="15" t="s">
        <v>48</v>
      </c>
      <c r="H199" s="17">
        <v>28.19</v>
      </c>
      <c r="I199" s="17">
        <f t="shared" si="19"/>
        <v>25.413285</v>
      </c>
      <c r="J199" s="24">
        <f t="shared" si="22"/>
        <v>23.8125</v>
      </c>
      <c r="K199" s="25">
        <v>0.0985</v>
      </c>
      <c r="L199" s="26">
        <v>0.25</v>
      </c>
      <c r="M199" s="24">
        <v>31.75</v>
      </c>
      <c r="N199" s="27">
        <f t="shared" si="20"/>
        <v>2573.34</v>
      </c>
      <c r="O199" s="15"/>
      <c r="P199" s="15" t="s">
        <v>540</v>
      </c>
      <c r="Q199" s="15" t="s">
        <v>541</v>
      </c>
      <c r="R199" s="15" t="s">
        <v>32</v>
      </c>
      <c r="S199" s="15" t="s">
        <v>21</v>
      </c>
      <c r="T199" s="16">
        <v>81.05</v>
      </c>
      <c r="U199" s="17">
        <f t="shared" si="21"/>
        <v>2573.3375</v>
      </c>
    </row>
    <row r="200" ht="45" customHeight="1" spans="1:21">
      <c r="A200" s="14" t="s">
        <v>26</v>
      </c>
      <c r="B200" s="15" t="s">
        <v>548</v>
      </c>
      <c r="C200" s="15" t="s">
        <v>28</v>
      </c>
      <c r="D200" s="15" t="s">
        <v>549</v>
      </c>
      <c r="E200" s="15" t="s">
        <v>550</v>
      </c>
      <c r="F200" s="16">
        <f t="shared" si="18"/>
        <v>11</v>
      </c>
      <c r="G200" s="15" t="s">
        <v>48</v>
      </c>
      <c r="H200" s="17">
        <v>27.13</v>
      </c>
      <c r="I200" s="17">
        <f t="shared" si="19"/>
        <v>24.457695</v>
      </c>
      <c r="J200" s="24">
        <f t="shared" si="22"/>
        <v>22.92</v>
      </c>
      <c r="K200" s="25">
        <v>0.0985</v>
      </c>
      <c r="L200" s="26">
        <v>0.25</v>
      </c>
      <c r="M200" s="24">
        <v>30.56</v>
      </c>
      <c r="N200" s="27">
        <f t="shared" si="20"/>
        <v>336.16</v>
      </c>
      <c r="O200" s="15"/>
      <c r="P200" s="15" t="s">
        <v>540</v>
      </c>
      <c r="Q200" s="15" t="s">
        <v>541</v>
      </c>
      <c r="R200" s="15" t="s">
        <v>32</v>
      </c>
      <c r="S200" s="15" t="s">
        <v>21</v>
      </c>
      <c r="T200" s="16">
        <v>11</v>
      </c>
      <c r="U200" s="17">
        <f t="shared" si="21"/>
        <v>336.16</v>
      </c>
    </row>
    <row r="201" ht="45" customHeight="1" spans="1:21">
      <c r="A201" s="14" t="s">
        <v>26</v>
      </c>
      <c r="B201" s="15" t="s">
        <v>551</v>
      </c>
      <c r="C201" s="15" t="s">
        <v>28</v>
      </c>
      <c r="D201" s="15" t="s">
        <v>552</v>
      </c>
      <c r="E201" s="15" t="s">
        <v>553</v>
      </c>
      <c r="F201" s="16">
        <f t="shared" si="18"/>
        <v>134.6</v>
      </c>
      <c r="G201" s="15" t="s">
        <v>48</v>
      </c>
      <c r="H201" s="17">
        <v>44.16</v>
      </c>
      <c r="I201" s="17">
        <f t="shared" si="19"/>
        <v>39.81024</v>
      </c>
      <c r="J201" s="24">
        <f t="shared" si="22"/>
        <v>37.321875</v>
      </c>
      <c r="K201" s="25">
        <v>0.0985</v>
      </c>
      <c r="L201" s="26">
        <v>0.25</v>
      </c>
      <c r="M201" s="24">
        <f>ROUND(I201,2)+(ROUND(I201,2)*L201)</f>
        <v>49.7625</v>
      </c>
      <c r="N201" s="27">
        <f t="shared" si="20"/>
        <v>6697.7</v>
      </c>
      <c r="O201" s="15"/>
      <c r="P201" s="15" t="s">
        <v>540</v>
      </c>
      <c r="Q201" s="15" t="s">
        <v>541</v>
      </c>
      <c r="R201" s="15" t="s">
        <v>32</v>
      </c>
      <c r="S201" s="15" t="s">
        <v>21</v>
      </c>
      <c r="T201" s="16">
        <v>134.6</v>
      </c>
      <c r="U201" s="17">
        <f t="shared" si="21"/>
        <v>6697.696</v>
      </c>
    </row>
    <row r="202" ht="45" customHeight="1" spans="1:21">
      <c r="A202" s="14" t="s">
        <v>26</v>
      </c>
      <c r="B202" s="15" t="s">
        <v>554</v>
      </c>
      <c r="C202" s="15" t="s">
        <v>28</v>
      </c>
      <c r="D202" s="15" t="s">
        <v>555</v>
      </c>
      <c r="E202" s="15" t="s">
        <v>556</v>
      </c>
      <c r="F202" s="16">
        <f t="shared" si="18"/>
        <v>54.55</v>
      </c>
      <c r="G202" s="15" t="s">
        <v>48</v>
      </c>
      <c r="H202" s="17">
        <v>60.79</v>
      </c>
      <c r="I202" s="17">
        <f t="shared" si="19"/>
        <v>54.802185</v>
      </c>
      <c r="J202" s="24">
        <f t="shared" si="22"/>
        <v>51.375</v>
      </c>
      <c r="K202" s="25">
        <v>0.0985</v>
      </c>
      <c r="L202" s="26">
        <v>0.25</v>
      </c>
      <c r="M202" s="24">
        <f>ROUND(I202,2)+(ROUND(I202,2)*L202)</f>
        <v>68.5</v>
      </c>
      <c r="N202" s="27">
        <f t="shared" si="20"/>
        <v>3736.68</v>
      </c>
      <c r="O202" s="15"/>
      <c r="P202" s="15" t="s">
        <v>540</v>
      </c>
      <c r="Q202" s="15" t="s">
        <v>541</v>
      </c>
      <c r="R202" s="15" t="s">
        <v>32</v>
      </c>
      <c r="S202" s="15" t="s">
        <v>21</v>
      </c>
      <c r="T202" s="16">
        <v>54.55</v>
      </c>
      <c r="U202" s="17">
        <f t="shared" si="21"/>
        <v>3736.675</v>
      </c>
    </row>
    <row r="203" ht="54.75" customHeight="1" spans="1:21">
      <c r="A203" s="14" t="s">
        <v>26</v>
      </c>
      <c r="B203" s="15" t="s">
        <v>557</v>
      </c>
      <c r="C203" s="15" t="s">
        <v>28</v>
      </c>
      <c r="D203" s="15" t="s">
        <v>558</v>
      </c>
      <c r="E203" s="15" t="s">
        <v>559</v>
      </c>
      <c r="F203" s="16">
        <f t="shared" si="18"/>
        <v>3</v>
      </c>
      <c r="G203" s="15" t="s">
        <v>40</v>
      </c>
      <c r="H203" s="17">
        <v>40.02</v>
      </c>
      <c r="I203" s="17">
        <f t="shared" si="19"/>
        <v>36.07803</v>
      </c>
      <c r="J203" s="24">
        <f t="shared" si="22"/>
        <v>33.825</v>
      </c>
      <c r="K203" s="25">
        <v>0.0985</v>
      </c>
      <c r="L203" s="26">
        <v>0.25</v>
      </c>
      <c r="M203" s="24">
        <f>ROUND(I203,2)+(ROUND(I203,2)*L203)</f>
        <v>45.1</v>
      </c>
      <c r="N203" s="27">
        <f t="shared" si="20"/>
        <v>135.3</v>
      </c>
      <c r="O203" s="15"/>
      <c r="P203" s="15" t="s">
        <v>540</v>
      </c>
      <c r="Q203" s="15" t="s">
        <v>541</v>
      </c>
      <c r="R203" s="15" t="s">
        <v>32</v>
      </c>
      <c r="S203" s="15" t="s">
        <v>21</v>
      </c>
      <c r="T203" s="16">
        <v>3</v>
      </c>
      <c r="U203" s="17">
        <f t="shared" si="21"/>
        <v>135.3</v>
      </c>
    </row>
    <row r="204" ht="52.5" customHeight="1" spans="1:21">
      <c r="A204" s="14" t="s">
        <v>26</v>
      </c>
      <c r="B204" s="15" t="s">
        <v>560</v>
      </c>
      <c r="C204" s="15" t="s">
        <v>28</v>
      </c>
      <c r="D204" s="15" t="s">
        <v>561</v>
      </c>
      <c r="E204" s="15" t="s">
        <v>562</v>
      </c>
      <c r="F204" s="16">
        <f t="shared" si="18"/>
        <v>6</v>
      </c>
      <c r="G204" s="15" t="s">
        <v>40</v>
      </c>
      <c r="H204" s="17">
        <v>223.91</v>
      </c>
      <c r="I204" s="17">
        <f t="shared" si="19"/>
        <v>201.864090092</v>
      </c>
      <c r="J204" s="24">
        <f t="shared" si="22"/>
        <v>189.24</v>
      </c>
      <c r="K204" s="25">
        <v>0.0984588</v>
      </c>
      <c r="L204" s="26">
        <v>0.25</v>
      </c>
      <c r="M204" s="24">
        <v>252.32</v>
      </c>
      <c r="N204" s="27">
        <f t="shared" si="20"/>
        <v>1513.92</v>
      </c>
      <c r="O204" s="15"/>
      <c r="P204" s="15" t="s">
        <v>540</v>
      </c>
      <c r="Q204" s="15" t="s">
        <v>541</v>
      </c>
      <c r="R204" s="15" t="s">
        <v>32</v>
      </c>
      <c r="S204" s="15" t="s">
        <v>21</v>
      </c>
      <c r="T204" s="16">
        <v>6</v>
      </c>
      <c r="U204" s="17">
        <f t="shared" si="21"/>
        <v>1513.92</v>
      </c>
    </row>
    <row r="205" ht="51" customHeight="1" spans="1:21">
      <c r="A205" s="14" t="s">
        <v>26</v>
      </c>
      <c r="B205" s="15" t="s">
        <v>563</v>
      </c>
      <c r="C205" s="15" t="s">
        <v>28</v>
      </c>
      <c r="D205" s="15" t="s">
        <v>564</v>
      </c>
      <c r="E205" s="15" t="s">
        <v>565</v>
      </c>
      <c r="F205" s="16">
        <f t="shared" si="18"/>
        <v>2</v>
      </c>
      <c r="G205" s="15" t="s">
        <v>40</v>
      </c>
      <c r="H205" s="17">
        <v>310.75</v>
      </c>
      <c r="I205" s="17">
        <f t="shared" si="19"/>
        <v>280.1380175</v>
      </c>
      <c r="J205" s="24">
        <f t="shared" si="22"/>
        <v>262.6275</v>
      </c>
      <c r="K205" s="25">
        <v>0.09851</v>
      </c>
      <c r="L205" s="26">
        <v>0.25</v>
      </c>
      <c r="M205" s="24">
        <v>350.17</v>
      </c>
      <c r="N205" s="27">
        <f t="shared" si="20"/>
        <v>700.34</v>
      </c>
      <c r="O205" s="15"/>
      <c r="P205" s="15" t="s">
        <v>540</v>
      </c>
      <c r="Q205" s="15" t="s">
        <v>541</v>
      </c>
      <c r="R205" s="15" t="s">
        <v>32</v>
      </c>
      <c r="S205" s="15" t="s">
        <v>21</v>
      </c>
      <c r="T205" s="16">
        <v>2</v>
      </c>
      <c r="U205" s="17">
        <f t="shared" si="21"/>
        <v>700.34</v>
      </c>
    </row>
    <row r="206" ht="45" customHeight="1" spans="1:21">
      <c r="A206" s="14" t="s">
        <v>26</v>
      </c>
      <c r="B206" s="15" t="s">
        <v>566</v>
      </c>
      <c r="C206" s="15" t="s">
        <v>28</v>
      </c>
      <c r="D206" s="15" t="s">
        <v>567</v>
      </c>
      <c r="E206" s="15" t="s">
        <v>568</v>
      </c>
      <c r="F206" s="16">
        <f t="shared" si="18"/>
        <v>4</v>
      </c>
      <c r="G206" s="15" t="s">
        <v>40</v>
      </c>
      <c r="H206" s="17">
        <v>5.33</v>
      </c>
      <c r="I206" s="17">
        <f t="shared" si="19"/>
        <v>4.804995</v>
      </c>
      <c r="J206" s="24">
        <f t="shared" si="22"/>
        <v>4.5</v>
      </c>
      <c r="K206" s="25">
        <v>0.0985</v>
      </c>
      <c r="L206" s="26">
        <v>0.25</v>
      </c>
      <c r="M206" s="24">
        <f>ROUND(I206,2)+(ROUND(I206,2)*L206)</f>
        <v>6</v>
      </c>
      <c r="N206" s="27">
        <f t="shared" si="20"/>
        <v>24</v>
      </c>
      <c r="O206" s="15"/>
      <c r="P206" s="15" t="s">
        <v>540</v>
      </c>
      <c r="Q206" s="15" t="s">
        <v>541</v>
      </c>
      <c r="R206" s="15" t="s">
        <v>32</v>
      </c>
      <c r="S206" s="15" t="s">
        <v>21</v>
      </c>
      <c r="T206" s="16">
        <v>4</v>
      </c>
      <c r="U206" s="17">
        <f t="shared" si="21"/>
        <v>24</v>
      </c>
    </row>
    <row r="207" ht="45" customHeight="1" spans="1:21">
      <c r="A207" s="14" t="s">
        <v>26</v>
      </c>
      <c r="B207" s="15" t="s">
        <v>569</v>
      </c>
      <c r="C207" s="15" t="s">
        <v>28</v>
      </c>
      <c r="D207" s="15" t="s">
        <v>570</v>
      </c>
      <c r="E207" s="15" t="s">
        <v>571</v>
      </c>
      <c r="F207" s="16">
        <f t="shared" si="18"/>
        <v>72</v>
      </c>
      <c r="G207" s="15" t="s">
        <v>40</v>
      </c>
      <c r="H207" s="17">
        <v>6.21</v>
      </c>
      <c r="I207" s="17">
        <f t="shared" si="19"/>
        <v>5.589621</v>
      </c>
      <c r="J207" s="24">
        <f t="shared" si="22"/>
        <v>5.240625</v>
      </c>
      <c r="K207" s="25">
        <v>0.0999</v>
      </c>
      <c r="L207" s="26">
        <v>0.25</v>
      </c>
      <c r="M207" s="24">
        <f>ROUND(I207,2)+(ROUND(I207,2)*L207)</f>
        <v>6.9875</v>
      </c>
      <c r="N207" s="27">
        <f t="shared" si="20"/>
        <v>503.28</v>
      </c>
      <c r="O207" s="15"/>
      <c r="P207" s="15" t="s">
        <v>540</v>
      </c>
      <c r="Q207" s="15" t="s">
        <v>541</v>
      </c>
      <c r="R207" s="15" t="s">
        <v>32</v>
      </c>
      <c r="S207" s="15" t="s">
        <v>21</v>
      </c>
      <c r="T207" s="16">
        <v>72</v>
      </c>
      <c r="U207" s="17">
        <f t="shared" si="21"/>
        <v>503.28</v>
      </c>
    </row>
    <row r="208" ht="52.5" customHeight="1" spans="1:21">
      <c r="A208" s="14" t="s">
        <v>26</v>
      </c>
      <c r="B208" s="15" t="s">
        <v>572</v>
      </c>
      <c r="C208" s="15" t="s">
        <v>28</v>
      </c>
      <c r="D208" s="15" t="s">
        <v>573</v>
      </c>
      <c r="E208" s="15" t="s">
        <v>574</v>
      </c>
      <c r="F208" s="16">
        <f t="shared" si="18"/>
        <v>40</v>
      </c>
      <c r="G208" s="15" t="s">
        <v>40</v>
      </c>
      <c r="H208" s="17">
        <v>16.12</v>
      </c>
      <c r="I208" s="17">
        <f t="shared" si="19"/>
        <v>14.53218</v>
      </c>
      <c r="J208" s="24">
        <f t="shared" si="22"/>
        <v>13.621875</v>
      </c>
      <c r="K208" s="25">
        <v>0.0985</v>
      </c>
      <c r="L208" s="26">
        <v>0.25</v>
      </c>
      <c r="M208" s="24">
        <f>ROUND(I208,2)+(ROUND(I208,2)*L208)</f>
        <v>18.1625</v>
      </c>
      <c r="N208" s="27">
        <f t="shared" si="20"/>
        <v>726.4</v>
      </c>
      <c r="O208" s="15"/>
      <c r="P208" s="15" t="s">
        <v>540</v>
      </c>
      <c r="Q208" s="15" t="s">
        <v>541</v>
      </c>
      <c r="R208" s="15" t="s">
        <v>32</v>
      </c>
      <c r="S208" s="15" t="s">
        <v>21</v>
      </c>
      <c r="T208" s="16">
        <v>40</v>
      </c>
      <c r="U208" s="17">
        <f t="shared" si="21"/>
        <v>726.4</v>
      </c>
    </row>
    <row r="209" ht="45" customHeight="1" spans="1:21">
      <c r="A209" s="14" t="s">
        <v>26</v>
      </c>
      <c r="B209" s="15" t="s">
        <v>575</v>
      </c>
      <c r="C209" s="15" t="s">
        <v>28</v>
      </c>
      <c r="D209" s="15" t="s">
        <v>576</v>
      </c>
      <c r="E209" s="15" t="s">
        <v>577</v>
      </c>
      <c r="F209" s="16">
        <f t="shared" si="18"/>
        <v>6</v>
      </c>
      <c r="G209" s="15" t="s">
        <v>40</v>
      </c>
      <c r="H209" s="17">
        <v>27.72</v>
      </c>
      <c r="I209" s="17">
        <f t="shared" si="19"/>
        <v>24.984036</v>
      </c>
      <c r="J209" s="24">
        <f t="shared" si="22"/>
        <v>23.41875</v>
      </c>
      <c r="K209" s="25">
        <v>0.0987</v>
      </c>
      <c r="L209" s="26">
        <v>0.25</v>
      </c>
      <c r="M209" s="24">
        <f>ROUND(I209,2)+(ROUND(I209,2)*L209)</f>
        <v>31.225</v>
      </c>
      <c r="N209" s="27">
        <f t="shared" si="20"/>
        <v>187.38</v>
      </c>
      <c r="O209" s="15"/>
      <c r="P209" s="15" t="s">
        <v>540</v>
      </c>
      <c r="Q209" s="15" t="s">
        <v>541</v>
      </c>
      <c r="R209" s="15" t="s">
        <v>32</v>
      </c>
      <c r="S209" s="15" t="s">
        <v>21</v>
      </c>
      <c r="T209" s="16">
        <v>6</v>
      </c>
      <c r="U209" s="17">
        <f t="shared" si="21"/>
        <v>187.38</v>
      </c>
    </row>
    <row r="210" ht="45" customHeight="1" spans="1:21">
      <c r="A210" s="14" t="s">
        <v>26</v>
      </c>
      <c r="B210" s="15" t="s">
        <v>578</v>
      </c>
      <c r="C210" s="15" t="s">
        <v>28</v>
      </c>
      <c r="D210" s="15" t="s">
        <v>579</v>
      </c>
      <c r="E210" s="15" t="s">
        <v>580</v>
      </c>
      <c r="F210" s="16">
        <f t="shared" si="18"/>
        <v>2</v>
      </c>
      <c r="G210" s="15" t="s">
        <v>40</v>
      </c>
      <c r="H210" s="17">
        <v>36.98</v>
      </c>
      <c r="I210" s="17">
        <f t="shared" si="19"/>
        <v>33.3304438</v>
      </c>
      <c r="J210" s="24">
        <f t="shared" si="22"/>
        <v>31.2525</v>
      </c>
      <c r="K210" s="25">
        <v>0.09869</v>
      </c>
      <c r="L210" s="26">
        <v>0.25</v>
      </c>
      <c r="M210" s="24">
        <v>41.67</v>
      </c>
      <c r="N210" s="27">
        <f t="shared" si="20"/>
        <v>83.34</v>
      </c>
      <c r="O210" s="15"/>
      <c r="P210" s="15" t="s">
        <v>540</v>
      </c>
      <c r="Q210" s="15" t="s">
        <v>541</v>
      </c>
      <c r="R210" s="15" t="s">
        <v>32</v>
      </c>
      <c r="S210" s="15" t="s">
        <v>21</v>
      </c>
      <c r="T210" s="16">
        <v>2</v>
      </c>
      <c r="U210" s="17">
        <f t="shared" si="21"/>
        <v>83.34</v>
      </c>
    </row>
    <row r="211" ht="48.75" customHeight="1" spans="1:21">
      <c r="A211" s="14" t="s">
        <v>26</v>
      </c>
      <c r="B211" s="15" t="s">
        <v>581</v>
      </c>
      <c r="C211" s="15" t="s">
        <v>28</v>
      </c>
      <c r="D211" s="15" t="s">
        <v>582</v>
      </c>
      <c r="E211" s="15" t="s">
        <v>583</v>
      </c>
      <c r="F211" s="16">
        <f t="shared" si="18"/>
        <v>6</v>
      </c>
      <c r="G211" s="15" t="s">
        <v>40</v>
      </c>
      <c r="H211" s="17">
        <v>18.8</v>
      </c>
      <c r="I211" s="17">
        <f t="shared" si="19"/>
        <v>16.9482</v>
      </c>
      <c r="J211" s="24">
        <f t="shared" si="22"/>
        <v>15.885</v>
      </c>
      <c r="K211" s="25">
        <v>0.0985</v>
      </c>
      <c r="L211" s="26">
        <v>0.25</v>
      </c>
      <c r="M211" s="24">
        <v>21.18</v>
      </c>
      <c r="N211" s="27">
        <f t="shared" si="20"/>
        <v>127.08</v>
      </c>
      <c r="O211" s="15"/>
      <c r="P211" s="15" t="s">
        <v>540</v>
      </c>
      <c r="Q211" s="15" t="s">
        <v>541</v>
      </c>
      <c r="R211" s="15" t="s">
        <v>32</v>
      </c>
      <c r="S211" s="15" t="s">
        <v>21</v>
      </c>
      <c r="T211" s="16">
        <v>6</v>
      </c>
      <c r="U211" s="17">
        <f t="shared" si="21"/>
        <v>127.08</v>
      </c>
    </row>
    <row r="212" ht="45" customHeight="1" spans="1:21">
      <c r="A212" s="14" t="s">
        <v>26</v>
      </c>
      <c r="B212" s="15" t="s">
        <v>584</v>
      </c>
      <c r="C212" s="15" t="s">
        <v>42</v>
      </c>
      <c r="D212" s="15" t="s">
        <v>585</v>
      </c>
      <c r="E212" s="15" t="s">
        <v>586</v>
      </c>
      <c r="F212" s="16">
        <f t="shared" si="18"/>
        <v>2</v>
      </c>
      <c r="G212" s="15" t="s">
        <v>40</v>
      </c>
      <c r="H212" s="17">
        <v>13.68</v>
      </c>
      <c r="I212" s="17">
        <f t="shared" si="19"/>
        <v>12.33252</v>
      </c>
      <c r="J212" s="24">
        <f t="shared" si="22"/>
        <v>11.559375</v>
      </c>
      <c r="K212" s="25">
        <v>0.0985</v>
      </c>
      <c r="L212" s="26">
        <v>0.25</v>
      </c>
      <c r="M212" s="24">
        <f>ROUND(I212,2)+(ROUND(I212,2)*L212)</f>
        <v>15.4125</v>
      </c>
      <c r="N212" s="27">
        <f t="shared" si="20"/>
        <v>30.82</v>
      </c>
      <c r="O212" s="15"/>
      <c r="P212" s="15" t="s">
        <v>540</v>
      </c>
      <c r="Q212" s="15" t="s">
        <v>541</v>
      </c>
      <c r="R212" s="15" t="s">
        <v>32</v>
      </c>
      <c r="S212" s="15" t="s">
        <v>21</v>
      </c>
      <c r="T212" s="16">
        <v>2</v>
      </c>
      <c r="U212" s="17">
        <f t="shared" si="21"/>
        <v>30.82</v>
      </c>
    </row>
    <row r="213" ht="45" customHeight="1" spans="1:21">
      <c r="A213" s="14" t="s">
        <v>26</v>
      </c>
      <c r="B213" s="15" t="s">
        <v>587</v>
      </c>
      <c r="C213" s="15" t="s">
        <v>42</v>
      </c>
      <c r="D213" s="15" t="s">
        <v>588</v>
      </c>
      <c r="E213" s="15" t="s">
        <v>589</v>
      </c>
      <c r="F213" s="16">
        <f t="shared" si="18"/>
        <v>4</v>
      </c>
      <c r="G213" s="15" t="s">
        <v>40</v>
      </c>
      <c r="H213" s="17">
        <v>13.68</v>
      </c>
      <c r="I213" s="17">
        <f t="shared" si="19"/>
        <v>12.33252</v>
      </c>
      <c r="J213" s="24">
        <f t="shared" si="22"/>
        <v>11.559375</v>
      </c>
      <c r="K213" s="25">
        <v>0.0985</v>
      </c>
      <c r="L213" s="26">
        <v>0.25</v>
      </c>
      <c r="M213" s="24">
        <f>ROUND(I213,2)+(ROUND(I213,2)*L213)</f>
        <v>15.4125</v>
      </c>
      <c r="N213" s="27">
        <f t="shared" si="20"/>
        <v>61.64</v>
      </c>
      <c r="O213" s="15"/>
      <c r="P213" s="15" t="s">
        <v>540</v>
      </c>
      <c r="Q213" s="15" t="s">
        <v>541</v>
      </c>
      <c r="R213" s="15" t="s">
        <v>32</v>
      </c>
      <c r="S213" s="15" t="s">
        <v>21</v>
      </c>
      <c r="T213" s="16">
        <v>4</v>
      </c>
      <c r="U213" s="17">
        <f t="shared" si="21"/>
        <v>61.64</v>
      </c>
    </row>
    <row r="214" ht="45" customHeight="1" spans="1:21">
      <c r="A214" s="14" t="s">
        <v>26</v>
      </c>
      <c r="B214" s="15" t="s">
        <v>590</v>
      </c>
      <c r="C214" s="15" t="s">
        <v>28</v>
      </c>
      <c r="D214" s="15" t="s">
        <v>591</v>
      </c>
      <c r="E214" s="15" t="s">
        <v>592</v>
      </c>
      <c r="F214" s="16">
        <f t="shared" ref="F214:F277" si="23">T214</f>
        <v>30</v>
      </c>
      <c r="G214" s="15" t="s">
        <v>40</v>
      </c>
      <c r="H214" s="17">
        <v>13.46</v>
      </c>
      <c r="I214" s="17">
        <f t="shared" ref="I214:I277" si="24">H214-H214*K214</f>
        <v>12.13419</v>
      </c>
      <c r="J214" s="24">
        <f t="shared" si="22"/>
        <v>11.3775</v>
      </c>
      <c r="K214" s="25">
        <v>0.0985</v>
      </c>
      <c r="L214" s="26">
        <v>0.25</v>
      </c>
      <c r="M214" s="24">
        <v>15.17</v>
      </c>
      <c r="N214" s="27">
        <f t="shared" ref="N214:N277" si="25">ROUND(U214,2)</f>
        <v>455.1</v>
      </c>
      <c r="O214" s="15"/>
      <c r="P214" s="15" t="s">
        <v>540</v>
      </c>
      <c r="Q214" s="15" t="s">
        <v>541</v>
      </c>
      <c r="R214" s="15" t="s">
        <v>32</v>
      </c>
      <c r="S214" s="15" t="s">
        <v>21</v>
      </c>
      <c r="T214" s="16">
        <v>30</v>
      </c>
      <c r="U214" s="17">
        <f t="shared" ref="U214:U277" si="26">ROUND(M214,2)*T214</f>
        <v>455.1</v>
      </c>
    </row>
    <row r="215" ht="45" customHeight="1" spans="1:21">
      <c r="A215" s="14" t="s">
        <v>26</v>
      </c>
      <c r="B215" s="15" t="s">
        <v>593</v>
      </c>
      <c r="C215" s="15" t="s">
        <v>28</v>
      </c>
      <c r="D215" s="15" t="s">
        <v>594</v>
      </c>
      <c r="E215" s="15" t="s">
        <v>595</v>
      </c>
      <c r="F215" s="16">
        <f t="shared" si="23"/>
        <v>1</v>
      </c>
      <c r="G215" s="15" t="s">
        <v>40</v>
      </c>
      <c r="H215" s="17">
        <v>17.98</v>
      </c>
      <c r="I215" s="17">
        <f t="shared" si="24"/>
        <v>16.19099</v>
      </c>
      <c r="J215" s="24">
        <f t="shared" ref="J215:J278" si="27">M215-M215*L215</f>
        <v>15.178125</v>
      </c>
      <c r="K215" s="25">
        <v>0.0995</v>
      </c>
      <c r="L215" s="26">
        <v>0.25</v>
      </c>
      <c r="M215" s="24">
        <f>ROUND(I215,2)+(ROUND(I215,2)*L215)</f>
        <v>20.2375</v>
      </c>
      <c r="N215" s="27">
        <f t="shared" si="25"/>
        <v>20.24</v>
      </c>
      <c r="O215" s="15"/>
      <c r="P215" s="15" t="s">
        <v>540</v>
      </c>
      <c r="Q215" s="15" t="s">
        <v>541</v>
      </c>
      <c r="R215" s="15" t="s">
        <v>32</v>
      </c>
      <c r="S215" s="15" t="s">
        <v>21</v>
      </c>
      <c r="T215" s="16">
        <v>1</v>
      </c>
      <c r="U215" s="17">
        <f t="shared" si="26"/>
        <v>20.24</v>
      </c>
    </row>
    <row r="216" ht="45" customHeight="1" spans="1:21">
      <c r="A216" s="14" t="s">
        <v>26</v>
      </c>
      <c r="B216" s="15" t="s">
        <v>596</v>
      </c>
      <c r="C216" s="15" t="s">
        <v>28</v>
      </c>
      <c r="D216" s="15" t="s">
        <v>597</v>
      </c>
      <c r="E216" s="15" t="s">
        <v>598</v>
      </c>
      <c r="F216" s="16">
        <f t="shared" si="23"/>
        <v>5</v>
      </c>
      <c r="G216" s="15" t="s">
        <v>40</v>
      </c>
      <c r="H216" s="17">
        <v>26.43</v>
      </c>
      <c r="I216" s="17">
        <f t="shared" si="24"/>
        <v>23.81343</v>
      </c>
      <c r="J216" s="24">
        <f t="shared" si="27"/>
        <v>22.3275</v>
      </c>
      <c r="K216" s="25">
        <v>0.099</v>
      </c>
      <c r="L216" s="26">
        <v>0.25</v>
      </c>
      <c r="M216" s="24">
        <v>29.77</v>
      </c>
      <c r="N216" s="27">
        <f t="shared" si="25"/>
        <v>148.85</v>
      </c>
      <c r="O216" s="15"/>
      <c r="P216" s="15" t="s">
        <v>540</v>
      </c>
      <c r="Q216" s="15" t="s">
        <v>541</v>
      </c>
      <c r="R216" s="15" t="s">
        <v>32</v>
      </c>
      <c r="S216" s="15" t="s">
        <v>21</v>
      </c>
      <c r="T216" s="16">
        <v>5</v>
      </c>
      <c r="U216" s="17">
        <f t="shared" si="26"/>
        <v>148.85</v>
      </c>
    </row>
    <row r="217" ht="45" customHeight="1" spans="1:21">
      <c r="A217" s="14" t="s">
        <v>26</v>
      </c>
      <c r="B217" s="15" t="s">
        <v>599</v>
      </c>
      <c r="C217" s="15" t="s">
        <v>28</v>
      </c>
      <c r="D217" s="15" t="s">
        <v>600</v>
      </c>
      <c r="E217" s="15" t="s">
        <v>601</v>
      </c>
      <c r="F217" s="16">
        <f t="shared" si="23"/>
        <v>3</v>
      </c>
      <c r="G217" s="15" t="s">
        <v>40</v>
      </c>
      <c r="H217" s="17">
        <v>5.72</v>
      </c>
      <c r="I217" s="17">
        <f t="shared" si="24"/>
        <v>5.15658</v>
      </c>
      <c r="J217" s="24">
        <f t="shared" si="27"/>
        <v>4.83</v>
      </c>
      <c r="K217" s="25">
        <v>0.0985</v>
      </c>
      <c r="L217" s="26">
        <v>0.25</v>
      </c>
      <c r="M217" s="24">
        <v>6.44</v>
      </c>
      <c r="N217" s="27">
        <f t="shared" si="25"/>
        <v>19.32</v>
      </c>
      <c r="O217" s="15"/>
      <c r="P217" s="15" t="s">
        <v>540</v>
      </c>
      <c r="Q217" s="15" t="s">
        <v>541</v>
      </c>
      <c r="R217" s="15" t="s">
        <v>32</v>
      </c>
      <c r="S217" s="15" t="s">
        <v>21</v>
      </c>
      <c r="T217" s="16">
        <v>3</v>
      </c>
      <c r="U217" s="17">
        <f t="shared" si="26"/>
        <v>19.32</v>
      </c>
    </row>
    <row r="218" ht="45" customHeight="1" spans="1:21">
      <c r="A218" s="14" t="s">
        <v>26</v>
      </c>
      <c r="B218" s="15" t="s">
        <v>602</v>
      </c>
      <c r="C218" s="15" t="s">
        <v>28</v>
      </c>
      <c r="D218" s="15" t="s">
        <v>603</v>
      </c>
      <c r="E218" s="15" t="s">
        <v>604</v>
      </c>
      <c r="F218" s="16">
        <f t="shared" si="23"/>
        <v>2</v>
      </c>
      <c r="G218" s="15" t="s">
        <v>40</v>
      </c>
      <c r="H218" s="17">
        <v>15.56</v>
      </c>
      <c r="I218" s="17">
        <f t="shared" si="24"/>
        <v>14.02734</v>
      </c>
      <c r="J218" s="24">
        <f t="shared" si="27"/>
        <v>13.1475</v>
      </c>
      <c r="K218" s="25">
        <v>0.0985</v>
      </c>
      <c r="L218" s="26">
        <v>0.25</v>
      </c>
      <c r="M218" s="24">
        <v>17.53</v>
      </c>
      <c r="N218" s="27">
        <f t="shared" si="25"/>
        <v>35.06</v>
      </c>
      <c r="O218" s="15"/>
      <c r="P218" s="15" t="s">
        <v>540</v>
      </c>
      <c r="Q218" s="15" t="s">
        <v>541</v>
      </c>
      <c r="R218" s="15" t="s">
        <v>32</v>
      </c>
      <c r="S218" s="15" t="s">
        <v>21</v>
      </c>
      <c r="T218" s="16">
        <v>2</v>
      </c>
      <c r="U218" s="17">
        <f t="shared" si="26"/>
        <v>35.06</v>
      </c>
    </row>
    <row r="219" ht="45" customHeight="1" spans="1:21">
      <c r="A219" s="14" t="s">
        <v>26</v>
      </c>
      <c r="B219" s="15" t="s">
        <v>605</v>
      </c>
      <c r="C219" s="15" t="s">
        <v>28</v>
      </c>
      <c r="D219" s="15" t="s">
        <v>606</v>
      </c>
      <c r="E219" s="15" t="s">
        <v>607</v>
      </c>
      <c r="F219" s="16">
        <f t="shared" si="23"/>
        <v>8</v>
      </c>
      <c r="G219" s="15" t="s">
        <v>40</v>
      </c>
      <c r="H219" s="17">
        <v>75.35</v>
      </c>
      <c r="I219" s="17">
        <f t="shared" si="24"/>
        <v>67.928025</v>
      </c>
      <c r="J219" s="24">
        <f t="shared" si="27"/>
        <v>63.6525</v>
      </c>
      <c r="K219" s="25">
        <v>0.0985</v>
      </c>
      <c r="L219" s="26">
        <v>0.25</v>
      </c>
      <c r="M219" s="24">
        <v>84.87</v>
      </c>
      <c r="N219" s="27">
        <f t="shared" si="25"/>
        <v>678.96</v>
      </c>
      <c r="O219" s="15"/>
      <c r="P219" s="15" t="s">
        <v>540</v>
      </c>
      <c r="Q219" s="15" t="s">
        <v>541</v>
      </c>
      <c r="R219" s="15" t="s">
        <v>32</v>
      </c>
      <c r="S219" s="15" t="s">
        <v>21</v>
      </c>
      <c r="T219" s="16">
        <v>8</v>
      </c>
      <c r="U219" s="17">
        <f t="shared" si="26"/>
        <v>678.96</v>
      </c>
    </row>
    <row r="220" ht="45" customHeight="1" spans="1:21">
      <c r="A220" s="14" t="s">
        <v>26</v>
      </c>
      <c r="B220" s="15" t="s">
        <v>608</v>
      </c>
      <c r="C220" s="15" t="s">
        <v>28</v>
      </c>
      <c r="D220" s="15" t="s">
        <v>609</v>
      </c>
      <c r="E220" s="15" t="s">
        <v>610</v>
      </c>
      <c r="F220" s="16">
        <f t="shared" si="23"/>
        <v>2</v>
      </c>
      <c r="G220" s="15" t="s">
        <v>40</v>
      </c>
      <c r="H220" s="17">
        <v>92.08</v>
      </c>
      <c r="I220" s="17">
        <f t="shared" si="24"/>
        <v>83.01012</v>
      </c>
      <c r="J220" s="24">
        <f t="shared" si="27"/>
        <v>77.821875</v>
      </c>
      <c r="K220" s="25">
        <v>0.0985</v>
      </c>
      <c r="L220" s="26">
        <v>0.25</v>
      </c>
      <c r="M220" s="24">
        <f>ROUND(I220,2)+(ROUND(I220,2)*L220)</f>
        <v>103.7625</v>
      </c>
      <c r="N220" s="27">
        <f t="shared" si="25"/>
        <v>207.52</v>
      </c>
      <c r="O220" s="15"/>
      <c r="P220" s="15" t="s">
        <v>540</v>
      </c>
      <c r="Q220" s="15" t="s">
        <v>541</v>
      </c>
      <c r="R220" s="15" t="s">
        <v>32</v>
      </c>
      <c r="S220" s="15" t="s">
        <v>21</v>
      </c>
      <c r="T220" s="16">
        <v>2</v>
      </c>
      <c r="U220" s="17">
        <f t="shared" si="26"/>
        <v>207.52</v>
      </c>
    </row>
    <row r="221" ht="45" customHeight="1" spans="1:21">
      <c r="A221" s="14" t="s">
        <v>26</v>
      </c>
      <c r="B221" s="15" t="s">
        <v>611</v>
      </c>
      <c r="C221" s="15" t="s">
        <v>28</v>
      </c>
      <c r="D221" s="15" t="s">
        <v>612</v>
      </c>
      <c r="E221" s="15" t="s">
        <v>613</v>
      </c>
      <c r="F221" s="16">
        <f t="shared" si="23"/>
        <v>4</v>
      </c>
      <c r="G221" s="15" t="s">
        <v>40</v>
      </c>
      <c r="H221" s="17">
        <v>7.55</v>
      </c>
      <c r="I221" s="17">
        <f t="shared" si="24"/>
        <v>6.806325</v>
      </c>
      <c r="J221" s="24">
        <f t="shared" si="27"/>
        <v>6.384375</v>
      </c>
      <c r="K221" s="25">
        <v>0.0985</v>
      </c>
      <c r="L221" s="26">
        <v>0.25</v>
      </c>
      <c r="M221" s="24">
        <f>ROUND(I221,2)+(ROUND(I221,2)*L221)</f>
        <v>8.5125</v>
      </c>
      <c r="N221" s="27">
        <f t="shared" si="25"/>
        <v>34.04</v>
      </c>
      <c r="O221" s="15"/>
      <c r="P221" s="15" t="s">
        <v>540</v>
      </c>
      <c r="Q221" s="15" t="s">
        <v>541</v>
      </c>
      <c r="R221" s="15" t="s">
        <v>32</v>
      </c>
      <c r="S221" s="15" t="s">
        <v>21</v>
      </c>
      <c r="T221" s="16">
        <v>4</v>
      </c>
      <c r="U221" s="17">
        <f t="shared" si="26"/>
        <v>34.04</v>
      </c>
    </row>
    <row r="222" ht="45" customHeight="1" spans="1:21">
      <c r="A222" s="14" t="s">
        <v>26</v>
      </c>
      <c r="B222" s="15" t="s">
        <v>614</v>
      </c>
      <c r="C222" s="15" t="s">
        <v>28</v>
      </c>
      <c r="D222" s="15" t="s">
        <v>612</v>
      </c>
      <c r="E222" s="15" t="s">
        <v>613</v>
      </c>
      <c r="F222" s="16">
        <f t="shared" si="23"/>
        <v>4</v>
      </c>
      <c r="G222" s="15" t="s">
        <v>40</v>
      </c>
      <c r="H222" s="17">
        <v>7.55</v>
      </c>
      <c r="I222" s="17">
        <f t="shared" si="24"/>
        <v>6.806325</v>
      </c>
      <c r="J222" s="24">
        <f t="shared" si="27"/>
        <v>6.384375</v>
      </c>
      <c r="K222" s="25">
        <v>0.0985</v>
      </c>
      <c r="L222" s="26">
        <v>0.25</v>
      </c>
      <c r="M222" s="24">
        <f>ROUND(I222,2)+(ROUND(I222,2)*L222)</f>
        <v>8.5125</v>
      </c>
      <c r="N222" s="27">
        <f t="shared" si="25"/>
        <v>34.04</v>
      </c>
      <c r="O222" s="15"/>
      <c r="P222" s="15" t="s">
        <v>540</v>
      </c>
      <c r="Q222" s="15" t="s">
        <v>541</v>
      </c>
      <c r="R222" s="15" t="s">
        <v>32</v>
      </c>
      <c r="S222" s="15" t="s">
        <v>21</v>
      </c>
      <c r="T222" s="16">
        <v>4</v>
      </c>
      <c r="U222" s="17">
        <f t="shared" si="26"/>
        <v>34.04</v>
      </c>
    </row>
    <row r="223" ht="45" customHeight="1" spans="1:21">
      <c r="A223" s="14" t="s">
        <v>26</v>
      </c>
      <c r="B223" s="15" t="s">
        <v>615</v>
      </c>
      <c r="C223" s="15" t="s">
        <v>28</v>
      </c>
      <c r="D223" s="15" t="s">
        <v>616</v>
      </c>
      <c r="E223" s="15" t="s">
        <v>617</v>
      </c>
      <c r="F223" s="16">
        <f t="shared" si="23"/>
        <v>28</v>
      </c>
      <c r="G223" s="15" t="s">
        <v>40</v>
      </c>
      <c r="H223" s="17">
        <v>13.2</v>
      </c>
      <c r="I223" s="17">
        <f t="shared" si="24"/>
        <v>11.8998</v>
      </c>
      <c r="J223" s="24">
        <f t="shared" si="27"/>
        <v>11.1525</v>
      </c>
      <c r="K223" s="25">
        <v>0.0985</v>
      </c>
      <c r="L223" s="26">
        <v>0.25</v>
      </c>
      <c r="M223" s="24">
        <v>14.87</v>
      </c>
      <c r="N223" s="27">
        <f t="shared" si="25"/>
        <v>416.36</v>
      </c>
      <c r="O223" s="15"/>
      <c r="P223" s="15" t="s">
        <v>540</v>
      </c>
      <c r="Q223" s="15" t="s">
        <v>541</v>
      </c>
      <c r="R223" s="15" t="s">
        <v>32</v>
      </c>
      <c r="S223" s="15" t="s">
        <v>21</v>
      </c>
      <c r="T223" s="16">
        <v>28</v>
      </c>
      <c r="U223" s="17">
        <f t="shared" si="26"/>
        <v>416.36</v>
      </c>
    </row>
    <row r="224" ht="45" customHeight="1" spans="1:21">
      <c r="A224" s="14" t="s">
        <v>26</v>
      </c>
      <c r="B224" s="15" t="s">
        <v>618</v>
      </c>
      <c r="C224" s="15" t="s">
        <v>28</v>
      </c>
      <c r="D224" s="15" t="s">
        <v>619</v>
      </c>
      <c r="E224" s="15" t="s">
        <v>620</v>
      </c>
      <c r="F224" s="16">
        <f t="shared" si="23"/>
        <v>4</v>
      </c>
      <c r="G224" s="15" t="s">
        <v>40</v>
      </c>
      <c r="H224" s="17">
        <v>37.81</v>
      </c>
      <c r="I224" s="17">
        <f t="shared" si="24"/>
        <v>34.085715</v>
      </c>
      <c r="J224" s="24">
        <f t="shared" si="27"/>
        <v>31.9425</v>
      </c>
      <c r="K224" s="25">
        <v>0.0985</v>
      </c>
      <c r="L224" s="26">
        <v>0.25</v>
      </c>
      <c r="M224" s="24">
        <v>42.59</v>
      </c>
      <c r="N224" s="27">
        <f t="shared" si="25"/>
        <v>170.36</v>
      </c>
      <c r="O224" s="15"/>
      <c r="P224" s="15" t="s">
        <v>540</v>
      </c>
      <c r="Q224" s="15" t="s">
        <v>541</v>
      </c>
      <c r="R224" s="15" t="s">
        <v>32</v>
      </c>
      <c r="S224" s="15" t="s">
        <v>21</v>
      </c>
      <c r="T224" s="16">
        <v>4</v>
      </c>
      <c r="U224" s="17">
        <f t="shared" si="26"/>
        <v>170.36</v>
      </c>
    </row>
    <row r="225" ht="54" customHeight="1" spans="1:21">
      <c r="A225" s="14" t="s">
        <v>26</v>
      </c>
      <c r="B225" s="15" t="s">
        <v>621</v>
      </c>
      <c r="C225" s="15" t="s">
        <v>28</v>
      </c>
      <c r="D225" s="15" t="s">
        <v>622</v>
      </c>
      <c r="E225" s="15" t="s">
        <v>623</v>
      </c>
      <c r="F225" s="16">
        <f t="shared" si="23"/>
        <v>26</v>
      </c>
      <c r="G225" s="15" t="s">
        <v>40</v>
      </c>
      <c r="H225" s="17">
        <v>99.61</v>
      </c>
      <c r="I225" s="17">
        <f t="shared" si="24"/>
        <v>89.798415</v>
      </c>
      <c r="J225" s="24">
        <f t="shared" si="27"/>
        <v>84.1725</v>
      </c>
      <c r="K225" s="25">
        <v>0.0985</v>
      </c>
      <c r="L225" s="26">
        <v>0.25</v>
      </c>
      <c r="M225" s="24">
        <v>112.23</v>
      </c>
      <c r="N225" s="27">
        <f t="shared" si="25"/>
        <v>2917.98</v>
      </c>
      <c r="O225" s="15"/>
      <c r="P225" s="15" t="s">
        <v>540</v>
      </c>
      <c r="Q225" s="15" t="s">
        <v>541</v>
      </c>
      <c r="R225" s="15" t="s">
        <v>32</v>
      </c>
      <c r="S225" s="15" t="s">
        <v>21</v>
      </c>
      <c r="T225" s="16">
        <v>26</v>
      </c>
      <c r="U225" s="17">
        <f t="shared" si="26"/>
        <v>2917.98</v>
      </c>
    </row>
    <row r="226" ht="52.5" customHeight="1" spans="1:21">
      <c r="A226" s="14" t="s">
        <v>26</v>
      </c>
      <c r="B226" s="15" t="s">
        <v>624</v>
      </c>
      <c r="C226" s="15" t="s">
        <v>28</v>
      </c>
      <c r="D226" s="15" t="s">
        <v>625</v>
      </c>
      <c r="E226" s="15" t="s">
        <v>626</v>
      </c>
      <c r="F226" s="16">
        <f t="shared" si="23"/>
        <v>6</v>
      </c>
      <c r="G226" s="15" t="s">
        <v>40</v>
      </c>
      <c r="H226" s="17">
        <v>130.28</v>
      </c>
      <c r="I226" s="17">
        <f t="shared" si="24"/>
        <v>117.44742</v>
      </c>
      <c r="J226" s="24">
        <f t="shared" si="27"/>
        <v>110.1</v>
      </c>
      <c r="K226" s="25">
        <v>0.0985</v>
      </c>
      <c r="L226" s="26">
        <v>0.25</v>
      </c>
      <c r="M226" s="24">
        <v>146.8</v>
      </c>
      <c r="N226" s="27">
        <f t="shared" si="25"/>
        <v>880.8</v>
      </c>
      <c r="O226" s="15"/>
      <c r="P226" s="15" t="s">
        <v>540</v>
      </c>
      <c r="Q226" s="15" t="s">
        <v>541</v>
      </c>
      <c r="R226" s="15" t="s">
        <v>32</v>
      </c>
      <c r="S226" s="15" t="s">
        <v>21</v>
      </c>
      <c r="T226" s="16">
        <v>6</v>
      </c>
      <c r="U226" s="17">
        <f t="shared" si="26"/>
        <v>880.8</v>
      </c>
    </row>
    <row r="227" ht="45" customHeight="1" spans="1:21">
      <c r="A227" s="14" t="s">
        <v>26</v>
      </c>
      <c r="B227" s="15" t="s">
        <v>627</v>
      </c>
      <c r="C227" s="15" t="s">
        <v>28</v>
      </c>
      <c r="D227" s="15" t="s">
        <v>628</v>
      </c>
      <c r="E227" s="15" t="s">
        <v>629</v>
      </c>
      <c r="F227" s="16">
        <f t="shared" si="23"/>
        <v>47</v>
      </c>
      <c r="G227" s="15" t="s">
        <v>40</v>
      </c>
      <c r="H227" s="17">
        <v>12.2</v>
      </c>
      <c r="I227" s="17">
        <f t="shared" si="24"/>
        <v>10.9983</v>
      </c>
      <c r="J227" s="24">
        <f t="shared" si="27"/>
        <v>10.305</v>
      </c>
      <c r="K227" s="25">
        <v>0.0985</v>
      </c>
      <c r="L227" s="26">
        <v>0.25</v>
      </c>
      <c r="M227" s="24">
        <v>13.74</v>
      </c>
      <c r="N227" s="27">
        <f t="shared" si="25"/>
        <v>645.78</v>
      </c>
      <c r="O227" s="15"/>
      <c r="P227" s="15" t="s">
        <v>540</v>
      </c>
      <c r="Q227" s="15" t="s">
        <v>541</v>
      </c>
      <c r="R227" s="15" t="s">
        <v>32</v>
      </c>
      <c r="S227" s="15" t="s">
        <v>21</v>
      </c>
      <c r="T227" s="16">
        <v>47</v>
      </c>
      <c r="U227" s="17">
        <f t="shared" si="26"/>
        <v>645.78</v>
      </c>
    </row>
    <row r="228" ht="45" customHeight="1" spans="1:21">
      <c r="A228" s="14" t="s">
        <v>26</v>
      </c>
      <c r="B228" s="15" t="s">
        <v>630</v>
      </c>
      <c r="C228" s="15" t="s">
        <v>28</v>
      </c>
      <c r="D228" s="15" t="s">
        <v>628</v>
      </c>
      <c r="E228" s="15" t="s">
        <v>629</v>
      </c>
      <c r="F228" s="16">
        <f t="shared" si="23"/>
        <v>12</v>
      </c>
      <c r="G228" s="15" t="s">
        <v>40</v>
      </c>
      <c r="H228" s="17">
        <v>12.2</v>
      </c>
      <c r="I228" s="17">
        <f t="shared" si="24"/>
        <v>10.9983</v>
      </c>
      <c r="J228" s="24">
        <f t="shared" si="27"/>
        <v>10.305</v>
      </c>
      <c r="K228" s="25">
        <v>0.0985</v>
      </c>
      <c r="L228" s="26">
        <v>0.25</v>
      </c>
      <c r="M228" s="24">
        <v>13.74</v>
      </c>
      <c r="N228" s="27">
        <f t="shared" si="25"/>
        <v>164.88</v>
      </c>
      <c r="O228" s="15"/>
      <c r="P228" s="15" t="s">
        <v>540</v>
      </c>
      <c r="Q228" s="15" t="s">
        <v>541</v>
      </c>
      <c r="R228" s="15" t="s">
        <v>32</v>
      </c>
      <c r="S228" s="15" t="s">
        <v>21</v>
      </c>
      <c r="T228" s="16">
        <v>12</v>
      </c>
      <c r="U228" s="17">
        <f t="shared" si="26"/>
        <v>164.88</v>
      </c>
    </row>
    <row r="229" ht="45" customHeight="1" spans="1:21">
      <c r="A229" s="14" t="s">
        <v>26</v>
      </c>
      <c r="B229" s="15" t="s">
        <v>631</v>
      </c>
      <c r="C229" s="15" t="s">
        <v>28</v>
      </c>
      <c r="D229" s="15" t="s">
        <v>632</v>
      </c>
      <c r="E229" s="15" t="s">
        <v>633</v>
      </c>
      <c r="F229" s="16">
        <f t="shared" si="23"/>
        <v>17</v>
      </c>
      <c r="G229" s="15" t="s">
        <v>40</v>
      </c>
      <c r="H229" s="17">
        <v>12.33</v>
      </c>
      <c r="I229" s="17">
        <f t="shared" si="24"/>
        <v>11.115495</v>
      </c>
      <c r="J229" s="24">
        <f t="shared" si="27"/>
        <v>10.4175</v>
      </c>
      <c r="K229" s="25">
        <v>0.0985</v>
      </c>
      <c r="L229" s="26">
        <v>0.25</v>
      </c>
      <c r="M229" s="24">
        <v>13.89</v>
      </c>
      <c r="N229" s="27">
        <f t="shared" si="25"/>
        <v>236.13</v>
      </c>
      <c r="O229" s="15"/>
      <c r="P229" s="15" t="s">
        <v>540</v>
      </c>
      <c r="Q229" s="15" t="s">
        <v>541</v>
      </c>
      <c r="R229" s="15" t="s">
        <v>32</v>
      </c>
      <c r="S229" s="15" t="s">
        <v>21</v>
      </c>
      <c r="T229" s="16">
        <v>17</v>
      </c>
      <c r="U229" s="17">
        <f t="shared" si="26"/>
        <v>236.13</v>
      </c>
    </row>
    <row r="230" ht="45" customHeight="1" spans="1:21">
      <c r="A230" s="14" t="s">
        <v>26</v>
      </c>
      <c r="B230" s="15" t="s">
        <v>634</v>
      </c>
      <c r="C230" s="15" t="s">
        <v>28</v>
      </c>
      <c r="D230" s="15" t="s">
        <v>635</v>
      </c>
      <c r="E230" s="15" t="s">
        <v>636</v>
      </c>
      <c r="F230" s="16">
        <f t="shared" si="23"/>
        <v>14</v>
      </c>
      <c r="G230" s="15" t="s">
        <v>40</v>
      </c>
      <c r="H230" s="17">
        <v>20.85</v>
      </c>
      <c r="I230" s="17">
        <f t="shared" si="24"/>
        <v>18.796275</v>
      </c>
      <c r="J230" s="24">
        <f t="shared" si="27"/>
        <v>17.6175</v>
      </c>
      <c r="K230" s="25">
        <v>0.0985</v>
      </c>
      <c r="L230" s="26">
        <v>0.25</v>
      </c>
      <c r="M230" s="24">
        <v>23.49</v>
      </c>
      <c r="N230" s="27">
        <f t="shared" si="25"/>
        <v>328.86</v>
      </c>
      <c r="O230" s="15"/>
      <c r="P230" s="15" t="s">
        <v>540</v>
      </c>
      <c r="Q230" s="15" t="s">
        <v>541</v>
      </c>
      <c r="R230" s="15" t="s">
        <v>32</v>
      </c>
      <c r="S230" s="15" t="s">
        <v>21</v>
      </c>
      <c r="T230" s="16">
        <v>14</v>
      </c>
      <c r="U230" s="17">
        <f t="shared" si="26"/>
        <v>328.86</v>
      </c>
    </row>
    <row r="231" ht="45" customHeight="1" spans="1:21">
      <c r="A231" s="14" t="s">
        <v>26</v>
      </c>
      <c r="B231" s="15" t="s">
        <v>637</v>
      </c>
      <c r="C231" s="15" t="s">
        <v>28</v>
      </c>
      <c r="D231" s="15" t="s">
        <v>638</v>
      </c>
      <c r="E231" s="15" t="s">
        <v>639</v>
      </c>
      <c r="F231" s="16">
        <f t="shared" si="23"/>
        <v>7</v>
      </c>
      <c r="G231" s="15" t="s">
        <v>40</v>
      </c>
      <c r="H231" s="17">
        <v>73.31</v>
      </c>
      <c r="I231" s="17">
        <f t="shared" si="24"/>
        <v>66.088965</v>
      </c>
      <c r="J231" s="24">
        <f t="shared" si="27"/>
        <v>61.959375</v>
      </c>
      <c r="K231" s="25">
        <v>0.0985</v>
      </c>
      <c r="L231" s="26">
        <v>0.25</v>
      </c>
      <c r="M231" s="24">
        <f>ROUND(I231,2)+(ROUND(I231,2)*L231)</f>
        <v>82.6125</v>
      </c>
      <c r="N231" s="27">
        <f t="shared" si="25"/>
        <v>578.27</v>
      </c>
      <c r="O231" s="15"/>
      <c r="P231" s="15" t="s">
        <v>540</v>
      </c>
      <c r="Q231" s="15" t="s">
        <v>541</v>
      </c>
      <c r="R231" s="15" t="s">
        <v>32</v>
      </c>
      <c r="S231" s="15" t="s">
        <v>21</v>
      </c>
      <c r="T231" s="16">
        <v>7</v>
      </c>
      <c r="U231" s="17">
        <f t="shared" si="26"/>
        <v>578.27</v>
      </c>
    </row>
    <row r="232" ht="45" customHeight="1" spans="1:21">
      <c r="A232" s="14" t="s">
        <v>26</v>
      </c>
      <c r="B232" s="15" t="s">
        <v>640</v>
      </c>
      <c r="C232" s="15" t="s">
        <v>28</v>
      </c>
      <c r="D232" s="15" t="s">
        <v>641</v>
      </c>
      <c r="E232" s="15" t="s">
        <v>642</v>
      </c>
      <c r="F232" s="16">
        <f t="shared" si="23"/>
        <v>4</v>
      </c>
      <c r="G232" s="15" t="s">
        <v>40</v>
      </c>
      <c r="H232" s="17">
        <v>96.15</v>
      </c>
      <c r="I232" s="17">
        <f t="shared" si="24"/>
        <v>86.679225</v>
      </c>
      <c r="J232" s="24">
        <f t="shared" si="27"/>
        <v>81.255</v>
      </c>
      <c r="K232" s="25">
        <v>0.0985</v>
      </c>
      <c r="L232" s="26">
        <v>0.25</v>
      </c>
      <c r="M232" s="24">
        <v>108.34</v>
      </c>
      <c r="N232" s="27">
        <f t="shared" si="25"/>
        <v>433.36</v>
      </c>
      <c r="O232" s="15"/>
      <c r="P232" s="15" t="s">
        <v>540</v>
      </c>
      <c r="Q232" s="15" t="s">
        <v>541</v>
      </c>
      <c r="R232" s="15" t="s">
        <v>32</v>
      </c>
      <c r="S232" s="15" t="s">
        <v>21</v>
      </c>
      <c r="T232" s="16">
        <v>4</v>
      </c>
      <c r="U232" s="17">
        <f t="shared" si="26"/>
        <v>433.36</v>
      </c>
    </row>
    <row r="233" ht="45" customHeight="1" spans="1:21">
      <c r="A233" s="14" t="s">
        <v>26</v>
      </c>
      <c r="B233" s="15" t="s">
        <v>643</v>
      </c>
      <c r="C233" s="15" t="s">
        <v>28</v>
      </c>
      <c r="D233" s="15" t="s">
        <v>644</v>
      </c>
      <c r="E233" s="15" t="s">
        <v>645</v>
      </c>
      <c r="F233" s="16">
        <f t="shared" si="23"/>
        <v>10</v>
      </c>
      <c r="G233" s="15" t="s">
        <v>40</v>
      </c>
      <c r="H233" s="17">
        <v>18.46</v>
      </c>
      <c r="I233" s="17">
        <f t="shared" si="24"/>
        <v>16.64169</v>
      </c>
      <c r="J233" s="24">
        <f t="shared" si="27"/>
        <v>15.6</v>
      </c>
      <c r="K233" s="25">
        <v>0.0985</v>
      </c>
      <c r="L233" s="26">
        <v>0.25</v>
      </c>
      <c r="M233" s="24">
        <f>ROUND(I233,2)+(ROUND(I233,2)*L233)</f>
        <v>20.8</v>
      </c>
      <c r="N233" s="27">
        <f t="shared" si="25"/>
        <v>208</v>
      </c>
      <c r="O233" s="15"/>
      <c r="P233" s="15" t="s">
        <v>540</v>
      </c>
      <c r="Q233" s="15" t="s">
        <v>541</v>
      </c>
      <c r="R233" s="15" t="s">
        <v>32</v>
      </c>
      <c r="S233" s="15" t="s">
        <v>21</v>
      </c>
      <c r="T233" s="16">
        <v>10</v>
      </c>
      <c r="U233" s="17">
        <f t="shared" si="26"/>
        <v>208</v>
      </c>
    </row>
    <row r="234" ht="45" customHeight="1" spans="1:21">
      <c r="A234" s="14" t="s">
        <v>26</v>
      </c>
      <c r="B234" s="15" t="s">
        <v>646</v>
      </c>
      <c r="C234" s="15" t="s">
        <v>28</v>
      </c>
      <c r="D234" s="15" t="s">
        <v>647</v>
      </c>
      <c r="E234" s="15" t="s">
        <v>648</v>
      </c>
      <c r="F234" s="16">
        <f t="shared" si="23"/>
        <v>2</v>
      </c>
      <c r="G234" s="15" t="s">
        <v>40</v>
      </c>
      <c r="H234" s="17">
        <v>55.66</v>
      </c>
      <c r="I234" s="17">
        <f t="shared" si="24"/>
        <v>50.17749</v>
      </c>
      <c r="J234" s="24">
        <f t="shared" si="27"/>
        <v>47.04</v>
      </c>
      <c r="K234" s="25">
        <v>0.0985</v>
      </c>
      <c r="L234" s="26">
        <v>0.25</v>
      </c>
      <c r="M234" s="24">
        <v>62.72</v>
      </c>
      <c r="N234" s="27">
        <f t="shared" si="25"/>
        <v>125.44</v>
      </c>
      <c r="O234" s="15"/>
      <c r="P234" s="15" t="s">
        <v>540</v>
      </c>
      <c r="Q234" s="15" t="s">
        <v>541</v>
      </c>
      <c r="R234" s="15" t="s">
        <v>32</v>
      </c>
      <c r="S234" s="15" t="s">
        <v>21</v>
      </c>
      <c r="T234" s="16">
        <v>2</v>
      </c>
      <c r="U234" s="17">
        <f t="shared" si="26"/>
        <v>125.44</v>
      </c>
    </row>
    <row r="235" ht="45" customHeight="1" spans="1:21">
      <c r="A235" s="14" t="s">
        <v>26</v>
      </c>
      <c r="B235" s="15" t="s">
        <v>649</v>
      </c>
      <c r="C235" s="15" t="s">
        <v>28</v>
      </c>
      <c r="D235" s="15" t="s">
        <v>647</v>
      </c>
      <c r="E235" s="15" t="s">
        <v>648</v>
      </c>
      <c r="F235" s="16">
        <f t="shared" si="23"/>
        <v>13</v>
      </c>
      <c r="G235" s="15" t="s">
        <v>40</v>
      </c>
      <c r="H235" s="17">
        <v>55.66</v>
      </c>
      <c r="I235" s="17">
        <f t="shared" si="24"/>
        <v>50.17749</v>
      </c>
      <c r="J235" s="24">
        <f t="shared" si="27"/>
        <v>47.04</v>
      </c>
      <c r="K235" s="25">
        <v>0.0985</v>
      </c>
      <c r="L235" s="26">
        <v>0.25</v>
      </c>
      <c r="M235" s="24">
        <v>62.72</v>
      </c>
      <c r="N235" s="27">
        <f t="shared" si="25"/>
        <v>815.36</v>
      </c>
      <c r="O235" s="15"/>
      <c r="P235" s="15" t="s">
        <v>540</v>
      </c>
      <c r="Q235" s="15" t="s">
        <v>541</v>
      </c>
      <c r="R235" s="15" t="s">
        <v>32</v>
      </c>
      <c r="S235" s="15" t="s">
        <v>21</v>
      </c>
      <c r="T235" s="16">
        <v>13</v>
      </c>
      <c r="U235" s="17">
        <f t="shared" si="26"/>
        <v>815.36</v>
      </c>
    </row>
    <row r="236" ht="45" customHeight="1" spans="1:21">
      <c r="A236" s="14" t="s">
        <v>26</v>
      </c>
      <c r="B236" s="15" t="s">
        <v>650</v>
      </c>
      <c r="C236" s="15" t="s">
        <v>42</v>
      </c>
      <c r="D236" s="15" t="s">
        <v>651</v>
      </c>
      <c r="E236" s="15" t="s">
        <v>652</v>
      </c>
      <c r="F236" s="16">
        <f t="shared" si="23"/>
        <v>3</v>
      </c>
      <c r="G236" s="15" t="s">
        <v>40</v>
      </c>
      <c r="H236" s="17">
        <v>27.55</v>
      </c>
      <c r="I236" s="17">
        <f t="shared" si="24"/>
        <v>24.836325</v>
      </c>
      <c r="J236" s="24">
        <f t="shared" si="27"/>
        <v>23.28</v>
      </c>
      <c r="K236" s="25">
        <v>0.0985</v>
      </c>
      <c r="L236" s="26">
        <v>0.25</v>
      </c>
      <c r="M236" s="24">
        <v>31.04</v>
      </c>
      <c r="N236" s="27">
        <f t="shared" si="25"/>
        <v>93.12</v>
      </c>
      <c r="O236" s="15"/>
      <c r="P236" s="15" t="s">
        <v>540</v>
      </c>
      <c r="Q236" s="15" t="s">
        <v>541</v>
      </c>
      <c r="R236" s="15" t="s">
        <v>32</v>
      </c>
      <c r="S236" s="15" t="s">
        <v>21</v>
      </c>
      <c r="T236" s="16">
        <v>3</v>
      </c>
      <c r="U236" s="17">
        <f t="shared" si="26"/>
        <v>93.12</v>
      </c>
    </row>
    <row r="237" ht="45" customHeight="1" spans="1:21">
      <c r="A237" s="14" t="s">
        <v>26</v>
      </c>
      <c r="B237" s="15" t="s">
        <v>653</v>
      </c>
      <c r="C237" s="15" t="s">
        <v>28</v>
      </c>
      <c r="D237" s="15" t="s">
        <v>654</v>
      </c>
      <c r="E237" s="15" t="s">
        <v>655</v>
      </c>
      <c r="F237" s="16">
        <f t="shared" si="23"/>
        <v>8</v>
      </c>
      <c r="G237" s="15" t="s">
        <v>40</v>
      </c>
      <c r="H237" s="17">
        <v>20.72</v>
      </c>
      <c r="I237" s="17">
        <f t="shared" si="24"/>
        <v>18.67908</v>
      </c>
      <c r="J237" s="24">
        <f t="shared" si="27"/>
        <v>17.505</v>
      </c>
      <c r="K237" s="25">
        <v>0.0985</v>
      </c>
      <c r="L237" s="26">
        <v>0.25</v>
      </c>
      <c r="M237" s="24">
        <v>23.34</v>
      </c>
      <c r="N237" s="27">
        <f t="shared" si="25"/>
        <v>186.72</v>
      </c>
      <c r="O237" s="15"/>
      <c r="P237" s="15" t="s">
        <v>540</v>
      </c>
      <c r="Q237" s="15" t="s">
        <v>541</v>
      </c>
      <c r="R237" s="15" t="s">
        <v>32</v>
      </c>
      <c r="S237" s="15" t="s">
        <v>21</v>
      </c>
      <c r="T237" s="16">
        <v>8</v>
      </c>
      <c r="U237" s="17">
        <f t="shared" si="26"/>
        <v>186.72</v>
      </c>
    </row>
    <row r="238" ht="45" customHeight="1" spans="1:21">
      <c r="A238" s="14" t="s">
        <v>26</v>
      </c>
      <c r="B238" s="15" t="s">
        <v>656</v>
      </c>
      <c r="C238" s="15" t="s">
        <v>28</v>
      </c>
      <c r="D238" s="15" t="s">
        <v>657</v>
      </c>
      <c r="E238" s="15" t="s">
        <v>658</v>
      </c>
      <c r="F238" s="16">
        <f t="shared" si="23"/>
        <v>9</v>
      </c>
      <c r="G238" s="15" t="s">
        <v>40</v>
      </c>
      <c r="H238" s="17">
        <v>19.11</v>
      </c>
      <c r="I238" s="17">
        <f t="shared" si="24"/>
        <v>17.227665</v>
      </c>
      <c r="J238" s="24">
        <f t="shared" si="27"/>
        <v>16.1475</v>
      </c>
      <c r="K238" s="25">
        <v>0.0985</v>
      </c>
      <c r="L238" s="26">
        <v>0.25</v>
      </c>
      <c r="M238" s="24">
        <v>21.53</v>
      </c>
      <c r="N238" s="27">
        <f t="shared" si="25"/>
        <v>193.77</v>
      </c>
      <c r="O238" s="15"/>
      <c r="P238" s="15" t="s">
        <v>540</v>
      </c>
      <c r="Q238" s="15" t="s">
        <v>541</v>
      </c>
      <c r="R238" s="15" t="s">
        <v>32</v>
      </c>
      <c r="S238" s="15" t="s">
        <v>21</v>
      </c>
      <c r="T238" s="16">
        <v>9</v>
      </c>
      <c r="U238" s="17">
        <f t="shared" si="26"/>
        <v>193.77</v>
      </c>
    </row>
    <row r="239" ht="45" customHeight="1" spans="1:21">
      <c r="A239" s="14" t="s">
        <v>26</v>
      </c>
      <c r="B239" s="15" t="s">
        <v>659</v>
      </c>
      <c r="C239" s="15" t="s">
        <v>28</v>
      </c>
      <c r="D239" s="15" t="s">
        <v>660</v>
      </c>
      <c r="E239" s="15" t="s">
        <v>661</v>
      </c>
      <c r="F239" s="16">
        <f t="shared" si="23"/>
        <v>3</v>
      </c>
      <c r="G239" s="15" t="s">
        <v>40</v>
      </c>
      <c r="H239" s="17">
        <v>396.1</v>
      </c>
      <c r="I239" s="17">
        <f t="shared" si="24"/>
        <v>357.08415</v>
      </c>
      <c r="J239" s="24">
        <f t="shared" si="27"/>
        <v>334.755</v>
      </c>
      <c r="K239" s="25">
        <v>0.0985</v>
      </c>
      <c r="L239" s="26">
        <v>0.25</v>
      </c>
      <c r="M239" s="24">
        <v>446.34</v>
      </c>
      <c r="N239" s="27">
        <f t="shared" si="25"/>
        <v>1339.02</v>
      </c>
      <c r="O239" s="15"/>
      <c r="P239" s="15" t="s">
        <v>540</v>
      </c>
      <c r="Q239" s="15" t="s">
        <v>541</v>
      </c>
      <c r="R239" s="15" t="s">
        <v>32</v>
      </c>
      <c r="S239" s="15" t="s">
        <v>21</v>
      </c>
      <c r="T239" s="16">
        <v>3</v>
      </c>
      <c r="U239" s="17">
        <f t="shared" si="26"/>
        <v>1339.02</v>
      </c>
    </row>
    <row r="240" ht="45" customHeight="1" spans="1:21">
      <c r="A240" s="14" t="s">
        <v>26</v>
      </c>
      <c r="B240" s="15" t="s">
        <v>662</v>
      </c>
      <c r="C240" s="15" t="s">
        <v>28</v>
      </c>
      <c r="D240" s="15" t="s">
        <v>663</v>
      </c>
      <c r="E240" s="15" t="s">
        <v>664</v>
      </c>
      <c r="F240" s="16">
        <f t="shared" si="23"/>
        <v>1</v>
      </c>
      <c r="G240" s="15" t="s">
        <v>40</v>
      </c>
      <c r="H240" s="17">
        <v>480.45</v>
      </c>
      <c r="I240" s="17">
        <f t="shared" si="24"/>
        <v>433.125675</v>
      </c>
      <c r="J240" s="24">
        <f t="shared" si="27"/>
        <v>406.05</v>
      </c>
      <c r="K240" s="25">
        <v>0.0985</v>
      </c>
      <c r="L240" s="26">
        <v>0.25</v>
      </c>
      <c r="M240" s="24">
        <v>541.4</v>
      </c>
      <c r="N240" s="27">
        <f t="shared" si="25"/>
        <v>541.4</v>
      </c>
      <c r="O240" s="15"/>
      <c r="P240" s="15" t="s">
        <v>540</v>
      </c>
      <c r="Q240" s="15" t="s">
        <v>541</v>
      </c>
      <c r="R240" s="15" t="s">
        <v>32</v>
      </c>
      <c r="S240" s="15" t="s">
        <v>21</v>
      </c>
      <c r="T240" s="16">
        <v>1</v>
      </c>
      <c r="U240" s="17">
        <f t="shared" si="26"/>
        <v>541.4</v>
      </c>
    </row>
    <row r="241" ht="45" customHeight="1" spans="1:21">
      <c r="A241" s="14" t="s">
        <v>26</v>
      </c>
      <c r="B241" s="15" t="s">
        <v>665</v>
      </c>
      <c r="C241" s="15" t="s">
        <v>28</v>
      </c>
      <c r="D241" s="15" t="s">
        <v>666</v>
      </c>
      <c r="E241" s="15" t="s">
        <v>667</v>
      </c>
      <c r="F241" s="16">
        <f t="shared" si="23"/>
        <v>2</v>
      </c>
      <c r="G241" s="15" t="s">
        <v>40</v>
      </c>
      <c r="H241" s="17">
        <v>111.93</v>
      </c>
      <c r="I241" s="17">
        <f t="shared" si="24"/>
        <v>100.904895</v>
      </c>
      <c r="J241" s="24">
        <f t="shared" si="27"/>
        <v>94.59</v>
      </c>
      <c r="K241" s="25">
        <v>0.0985</v>
      </c>
      <c r="L241" s="26">
        <v>0.25</v>
      </c>
      <c r="M241" s="24">
        <v>126.12</v>
      </c>
      <c r="N241" s="27">
        <f t="shared" si="25"/>
        <v>252.24</v>
      </c>
      <c r="O241" s="15"/>
      <c r="P241" s="15" t="s">
        <v>540</v>
      </c>
      <c r="Q241" s="15" t="s">
        <v>541</v>
      </c>
      <c r="R241" s="15" t="s">
        <v>32</v>
      </c>
      <c r="S241" s="15" t="s">
        <v>21</v>
      </c>
      <c r="T241" s="16">
        <v>2</v>
      </c>
      <c r="U241" s="17">
        <f t="shared" si="26"/>
        <v>252.24</v>
      </c>
    </row>
    <row r="242" ht="45" customHeight="1" spans="1:21">
      <c r="A242" s="14" t="s">
        <v>26</v>
      </c>
      <c r="B242" s="15" t="s">
        <v>668</v>
      </c>
      <c r="C242" s="15" t="s">
        <v>28</v>
      </c>
      <c r="D242" s="15" t="s">
        <v>669</v>
      </c>
      <c r="E242" s="15" t="s">
        <v>670</v>
      </c>
      <c r="F242" s="16">
        <f t="shared" si="23"/>
        <v>8</v>
      </c>
      <c r="G242" s="15" t="s">
        <v>40</v>
      </c>
      <c r="H242" s="17">
        <v>225.14</v>
      </c>
      <c r="I242" s="17">
        <f t="shared" si="24"/>
        <v>202.96371</v>
      </c>
      <c r="J242" s="24">
        <f t="shared" si="27"/>
        <v>190.275</v>
      </c>
      <c r="K242" s="25">
        <v>0.0985</v>
      </c>
      <c r="L242" s="26">
        <v>0.25</v>
      </c>
      <c r="M242" s="24">
        <f>ROUND(I242,2)+(ROUND(I242,2)*L242)</f>
        <v>253.7</v>
      </c>
      <c r="N242" s="27">
        <f t="shared" si="25"/>
        <v>2029.6</v>
      </c>
      <c r="O242" s="15"/>
      <c r="P242" s="15" t="s">
        <v>540</v>
      </c>
      <c r="Q242" s="15" t="s">
        <v>541</v>
      </c>
      <c r="R242" s="15" t="s">
        <v>32</v>
      </c>
      <c r="S242" s="15" t="s">
        <v>21</v>
      </c>
      <c r="T242" s="16">
        <v>8</v>
      </c>
      <c r="U242" s="17">
        <f t="shared" si="26"/>
        <v>2029.6</v>
      </c>
    </row>
    <row r="243" ht="45" customHeight="1" spans="1:21">
      <c r="A243" s="14" t="s">
        <v>26</v>
      </c>
      <c r="B243" s="15" t="s">
        <v>671</v>
      </c>
      <c r="C243" s="15" t="s">
        <v>28</v>
      </c>
      <c r="D243" s="15" t="s">
        <v>672</v>
      </c>
      <c r="E243" s="15" t="s">
        <v>673</v>
      </c>
      <c r="F243" s="16">
        <f t="shared" si="23"/>
        <v>30</v>
      </c>
      <c r="G243" s="15" t="s">
        <v>40</v>
      </c>
      <c r="H243" s="17">
        <v>126.99</v>
      </c>
      <c r="I243" s="17">
        <f t="shared" si="24"/>
        <v>114.481485</v>
      </c>
      <c r="J243" s="24">
        <f t="shared" si="27"/>
        <v>100.575</v>
      </c>
      <c r="K243" s="25">
        <v>0.0985</v>
      </c>
      <c r="L243" s="26">
        <v>0.25</v>
      </c>
      <c r="M243" s="24">
        <v>134.1</v>
      </c>
      <c r="N243" s="27">
        <f t="shared" si="25"/>
        <v>4023</v>
      </c>
      <c r="O243" s="15"/>
      <c r="P243" s="15" t="s">
        <v>540</v>
      </c>
      <c r="Q243" s="15" t="s">
        <v>541</v>
      </c>
      <c r="R243" s="15" t="s">
        <v>32</v>
      </c>
      <c r="S243" s="15" t="s">
        <v>21</v>
      </c>
      <c r="T243" s="16">
        <v>30</v>
      </c>
      <c r="U243" s="17">
        <f t="shared" si="26"/>
        <v>4023</v>
      </c>
    </row>
    <row r="244" ht="45" customHeight="1" spans="1:21">
      <c r="A244" s="14" t="s">
        <v>26</v>
      </c>
      <c r="B244" s="15" t="s">
        <v>674</v>
      </c>
      <c r="C244" s="15" t="s">
        <v>28</v>
      </c>
      <c r="D244" s="15" t="s">
        <v>675</v>
      </c>
      <c r="E244" s="15" t="s">
        <v>676</v>
      </c>
      <c r="F244" s="16">
        <f t="shared" si="23"/>
        <v>6</v>
      </c>
      <c r="G244" s="15" t="s">
        <v>40</v>
      </c>
      <c r="H244" s="17">
        <v>120.38</v>
      </c>
      <c r="I244" s="17">
        <f t="shared" si="24"/>
        <v>108.52257</v>
      </c>
      <c r="J244" s="24">
        <f t="shared" si="27"/>
        <v>101.7375</v>
      </c>
      <c r="K244" s="25">
        <v>0.0985</v>
      </c>
      <c r="L244" s="26">
        <v>0.25</v>
      </c>
      <c r="M244" s="24">
        <f>ROUND(I244,2)+(ROUND(I244,2)*L244)</f>
        <v>135.65</v>
      </c>
      <c r="N244" s="27">
        <f t="shared" si="25"/>
        <v>813.9</v>
      </c>
      <c r="O244" s="15"/>
      <c r="P244" s="15" t="s">
        <v>540</v>
      </c>
      <c r="Q244" s="15" t="s">
        <v>541</v>
      </c>
      <c r="R244" s="15" t="s">
        <v>32</v>
      </c>
      <c r="S244" s="15" t="s">
        <v>21</v>
      </c>
      <c r="T244" s="16">
        <v>6</v>
      </c>
      <c r="U244" s="17">
        <f t="shared" si="26"/>
        <v>813.9</v>
      </c>
    </row>
    <row r="245" ht="45" customHeight="1" spans="1:21">
      <c r="A245" s="14" t="s">
        <v>26</v>
      </c>
      <c r="B245" s="15" t="s">
        <v>677</v>
      </c>
      <c r="C245" s="15" t="s">
        <v>42</v>
      </c>
      <c r="D245" s="15" t="s">
        <v>678</v>
      </c>
      <c r="E245" s="15" t="s">
        <v>679</v>
      </c>
      <c r="F245" s="16">
        <f t="shared" si="23"/>
        <v>1</v>
      </c>
      <c r="G245" s="15" t="s">
        <v>40</v>
      </c>
      <c r="H245" s="17">
        <v>40508.7</v>
      </c>
      <c r="I245" s="17">
        <f t="shared" si="24"/>
        <v>36518.59305</v>
      </c>
      <c r="J245" s="24">
        <f t="shared" si="27"/>
        <v>34236.178125</v>
      </c>
      <c r="K245" s="25">
        <v>0.0985</v>
      </c>
      <c r="L245" s="26">
        <v>0.25</v>
      </c>
      <c r="M245" s="24">
        <f>ROUND(I245,2)+(ROUND(I245,2)*L245)</f>
        <v>45648.2375</v>
      </c>
      <c r="N245" s="27">
        <f t="shared" si="25"/>
        <v>45648.24</v>
      </c>
      <c r="O245" s="15"/>
      <c r="P245" s="15" t="s">
        <v>540</v>
      </c>
      <c r="Q245" s="15" t="s">
        <v>541</v>
      </c>
      <c r="R245" s="15" t="s">
        <v>32</v>
      </c>
      <c r="S245" s="15" t="s">
        <v>21</v>
      </c>
      <c r="T245" s="16">
        <v>1</v>
      </c>
      <c r="U245" s="17">
        <f t="shared" si="26"/>
        <v>45648.24</v>
      </c>
    </row>
    <row r="246" ht="45" customHeight="1" spans="1:21">
      <c r="A246" s="14" t="s">
        <v>26</v>
      </c>
      <c r="B246" s="15" t="s">
        <v>680</v>
      </c>
      <c r="C246" s="15" t="s">
        <v>28</v>
      </c>
      <c r="D246" s="15" t="s">
        <v>681</v>
      </c>
      <c r="E246" s="15" t="s">
        <v>682</v>
      </c>
      <c r="F246" s="16">
        <f t="shared" si="23"/>
        <v>246.6</v>
      </c>
      <c r="G246" s="15" t="s">
        <v>48</v>
      </c>
      <c r="H246" s="17">
        <v>30.04</v>
      </c>
      <c r="I246" s="17">
        <f t="shared" si="24"/>
        <v>27.08106</v>
      </c>
      <c r="J246" s="24">
        <f t="shared" si="27"/>
        <v>25.3875</v>
      </c>
      <c r="K246" s="25">
        <v>0.0985</v>
      </c>
      <c r="L246" s="26">
        <v>0.25</v>
      </c>
      <c r="M246" s="24">
        <f>ROUND(I246,2)+(ROUND(I246,2)*L246)</f>
        <v>33.85</v>
      </c>
      <c r="N246" s="27">
        <f t="shared" si="25"/>
        <v>8347.41</v>
      </c>
      <c r="O246" s="15"/>
      <c r="P246" s="15" t="s">
        <v>683</v>
      </c>
      <c r="Q246" s="15" t="s">
        <v>684</v>
      </c>
      <c r="R246" s="15" t="s">
        <v>32</v>
      </c>
      <c r="S246" s="15" t="s">
        <v>21</v>
      </c>
      <c r="T246" s="16">
        <v>246.6</v>
      </c>
      <c r="U246" s="17">
        <f t="shared" si="26"/>
        <v>8347.41</v>
      </c>
    </row>
    <row r="247" ht="45" customHeight="1" spans="1:21">
      <c r="A247" s="14" t="s">
        <v>26</v>
      </c>
      <c r="B247" s="15" t="s">
        <v>685</v>
      </c>
      <c r="C247" s="15" t="s">
        <v>28</v>
      </c>
      <c r="D247" s="15" t="s">
        <v>686</v>
      </c>
      <c r="E247" s="15" t="s">
        <v>687</v>
      </c>
      <c r="F247" s="16">
        <f t="shared" si="23"/>
        <v>3</v>
      </c>
      <c r="G247" s="15" t="s">
        <v>48</v>
      </c>
      <c r="H247" s="17">
        <v>62.06</v>
      </c>
      <c r="I247" s="17">
        <f t="shared" si="24"/>
        <v>55.94709</v>
      </c>
      <c r="J247" s="24">
        <f t="shared" si="27"/>
        <v>52.4475</v>
      </c>
      <c r="K247" s="25">
        <v>0.0985</v>
      </c>
      <c r="L247" s="26">
        <v>0.25</v>
      </c>
      <c r="M247" s="24">
        <v>69.93</v>
      </c>
      <c r="N247" s="27">
        <f t="shared" si="25"/>
        <v>209.79</v>
      </c>
      <c r="O247" s="15"/>
      <c r="P247" s="15" t="s">
        <v>683</v>
      </c>
      <c r="Q247" s="15" t="s">
        <v>684</v>
      </c>
      <c r="R247" s="15" t="s">
        <v>32</v>
      </c>
      <c r="S247" s="15" t="s">
        <v>21</v>
      </c>
      <c r="T247" s="16">
        <v>3</v>
      </c>
      <c r="U247" s="17">
        <f t="shared" si="26"/>
        <v>209.79</v>
      </c>
    </row>
    <row r="248" ht="45" customHeight="1" spans="1:21">
      <c r="A248" s="14" t="s">
        <v>26</v>
      </c>
      <c r="B248" s="15" t="s">
        <v>688</v>
      </c>
      <c r="C248" s="15" t="s">
        <v>28</v>
      </c>
      <c r="D248" s="15" t="s">
        <v>689</v>
      </c>
      <c r="E248" s="15" t="s">
        <v>690</v>
      </c>
      <c r="F248" s="16">
        <f t="shared" si="23"/>
        <v>11</v>
      </c>
      <c r="G248" s="15" t="s">
        <v>40</v>
      </c>
      <c r="H248" s="17">
        <v>41.32</v>
      </c>
      <c r="I248" s="17">
        <f t="shared" si="24"/>
        <v>37.24998</v>
      </c>
      <c r="J248" s="24">
        <f t="shared" si="27"/>
        <v>34.921875</v>
      </c>
      <c r="K248" s="25">
        <v>0.0985</v>
      </c>
      <c r="L248" s="26">
        <v>0.25</v>
      </c>
      <c r="M248" s="24">
        <f>ROUND(I248,2)+(ROUND(I248,2)*L248)</f>
        <v>46.5625</v>
      </c>
      <c r="N248" s="27">
        <f t="shared" si="25"/>
        <v>512.16</v>
      </c>
      <c r="O248" s="15"/>
      <c r="P248" s="15" t="s">
        <v>683</v>
      </c>
      <c r="Q248" s="15" t="s">
        <v>684</v>
      </c>
      <c r="R248" s="15" t="s">
        <v>32</v>
      </c>
      <c r="S248" s="15" t="s">
        <v>21</v>
      </c>
      <c r="T248" s="16">
        <v>11</v>
      </c>
      <c r="U248" s="17">
        <f t="shared" si="26"/>
        <v>512.16</v>
      </c>
    </row>
    <row r="249" ht="45" customHeight="1" spans="1:21">
      <c r="A249" s="14" t="s">
        <v>26</v>
      </c>
      <c r="B249" s="15" t="s">
        <v>691</v>
      </c>
      <c r="C249" s="15" t="s">
        <v>28</v>
      </c>
      <c r="D249" s="15" t="s">
        <v>692</v>
      </c>
      <c r="E249" s="15" t="s">
        <v>693</v>
      </c>
      <c r="F249" s="16">
        <f t="shared" si="23"/>
        <v>4</v>
      </c>
      <c r="G249" s="15" t="s">
        <v>40</v>
      </c>
      <c r="H249" s="17">
        <v>71.97</v>
      </c>
      <c r="I249" s="17">
        <f t="shared" si="24"/>
        <v>64.880955</v>
      </c>
      <c r="J249" s="24">
        <f t="shared" si="27"/>
        <v>60.8175</v>
      </c>
      <c r="K249" s="25">
        <v>0.0985</v>
      </c>
      <c r="L249" s="26">
        <v>0.25</v>
      </c>
      <c r="M249" s="24">
        <v>81.09</v>
      </c>
      <c r="N249" s="27">
        <f t="shared" si="25"/>
        <v>324.36</v>
      </c>
      <c r="O249" s="15"/>
      <c r="P249" s="15" t="s">
        <v>683</v>
      </c>
      <c r="Q249" s="15" t="s">
        <v>684</v>
      </c>
      <c r="R249" s="15" t="s">
        <v>32</v>
      </c>
      <c r="S249" s="15" t="s">
        <v>21</v>
      </c>
      <c r="T249" s="16">
        <v>4</v>
      </c>
      <c r="U249" s="17">
        <f t="shared" si="26"/>
        <v>324.36</v>
      </c>
    </row>
    <row r="250" ht="45" customHeight="1" spans="1:21">
      <c r="A250" s="14" t="s">
        <v>26</v>
      </c>
      <c r="B250" s="15" t="s">
        <v>694</v>
      </c>
      <c r="C250" s="15" t="s">
        <v>28</v>
      </c>
      <c r="D250" s="15" t="s">
        <v>695</v>
      </c>
      <c r="E250" s="15" t="s">
        <v>696</v>
      </c>
      <c r="F250" s="16">
        <f t="shared" si="23"/>
        <v>1</v>
      </c>
      <c r="G250" s="15" t="s">
        <v>40</v>
      </c>
      <c r="H250" s="17">
        <v>64.28</v>
      </c>
      <c r="I250" s="17">
        <f t="shared" si="24"/>
        <v>57.94842</v>
      </c>
      <c r="J250" s="24">
        <f t="shared" si="27"/>
        <v>54.315</v>
      </c>
      <c r="K250" s="25">
        <v>0.0985</v>
      </c>
      <c r="L250" s="26">
        <v>0.25</v>
      </c>
      <c r="M250" s="24">
        <v>72.42</v>
      </c>
      <c r="N250" s="27">
        <f t="shared" si="25"/>
        <v>72.42</v>
      </c>
      <c r="O250" s="15"/>
      <c r="P250" s="15" t="s">
        <v>683</v>
      </c>
      <c r="Q250" s="15" t="s">
        <v>684</v>
      </c>
      <c r="R250" s="15" t="s">
        <v>32</v>
      </c>
      <c r="S250" s="15" t="s">
        <v>21</v>
      </c>
      <c r="T250" s="16">
        <v>1</v>
      </c>
      <c r="U250" s="17">
        <f t="shared" si="26"/>
        <v>72.42</v>
      </c>
    </row>
    <row r="251" ht="45" customHeight="1" spans="1:21">
      <c r="A251" s="14" t="s">
        <v>26</v>
      </c>
      <c r="B251" s="15" t="s">
        <v>697</v>
      </c>
      <c r="C251" s="15" t="s">
        <v>28</v>
      </c>
      <c r="D251" s="15" t="s">
        <v>698</v>
      </c>
      <c r="E251" s="15" t="s">
        <v>699</v>
      </c>
      <c r="F251" s="16">
        <f t="shared" si="23"/>
        <v>9</v>
      </c>
      <c r="G251" s="15" t="s">
        <v>40</v>
      </c>
      <c r="H251" s="17">
        <v>539.55</v>
      </c>
      <c r="I251" s="17">
        <f t="shared" si="24"/>
        <v>486.3557655</v>
      </c>
      <c r="J251" s="24">
        <f t="shared" si="27"/>
        <v>455.9625</v>
      </c>
      <c r="K251" s="25">
        <v>0.09859</v>
      </c>
      <c r="L251" s="26">
        <v>0.25</v>
      </c>
      <c r="M251" s="24">
        <f>ROUND(I251,2)+(ROUND(I251,2)*L251)</f>
        <v>607.95</v>
      </c>
      <c r="N251" s="27">
        <f t="shared" si="25"/>
        <v>5471.55</v>
      </c>
      <c r="O251" s="15"/>
      <c r="P251" s="15" t="s">
        <v>683</v>
      </c>
      <c r="Q251" s="15" t="s">
        <v>684</v>
      </c>
      <c r="R251" s="15" t="s">
        <v>32</v>
      </c>
      <c r="S251" s="15" t="s">
        <v>21</v>
      </c>
      <c r="T251" s="16">
        <v>9</v>
      </c>
      <c r="U251" s="17">
        <f t="shared" si="26"/>
        <v>5471.55</v>
      </c>
    </row>
    <row r="252" ht="45" customHeight="1" spans="1:21">
      <c r="A252" s="14" t="s">
        <v>26</v>
      </c>
      <c r="B252" s="15" t="s">
        <v>700</v>
      </c>
      <c r="C252" s="15" t="s">
        <v>28</v>
      </c>
      <c r="D252" s="15" t="s">
        <v>701</v>
      </c>
      <c r="E252" s="15" t="s">
        <v>702</v>
      </c>
      <c r="F252" s="16">
        <f t="shared" si="23"/>
        <v>11</v>
      </c>
      <c r="G252" s="15" t="s">
        <v>40</v>
      </c>
      <c r="H252" s="17">
        <v>35.62</v>
      </c>
      <c r="I252" s="17">
        <f t="shared" si="24"/>
        <v>32.11143</v>
      </c>
      <c r="J252" s="24">
        <f t="shared" si="27"/>
        <v>30.103125</v>
      </c>
      <c r="K252" s="25">
        <v>0.0985</v>
      </c>
      <c r="L252" s="26">
        <v>0.25</v>
      </c>
      <c r="M252" s="24">
        <f>ROUND(I252,2)+(ROUND(I252,2)*L252)</f>
        <v>40.1375</v>
      </c>
      <c r="N252" s="27">
        <f t="shared" si="25"/>
        <v>441.54</v>
      </c>
      <c r="O252" s="15"/>
      <c r="P252" s="15" t="s">
        <v>683</v>
      </c>
      <c r="Q252" s="15" t="s">
        <v>684</v>
      </c>
      <c r="R252" s="15" t="s">
        <v>32</v>
      </c>
      <c r="S252" s="15" t="s">
        <v>21</v>
      </c>
      <c r="T252" s="16">
        <v>11</v>
      </c>
      <c r="U252" s="17">
        <f t="shared" si="26"/>
        <v>441.54</v>
      </c>
    </row>
    <row r="253" ht="45" customHeight="1" spans="1:21">
      <c r="A253" s="14" t="s">
        <v>26</v>
      </c>
      <c r="B253" s="15" t="s">
        <v>703</v>
      </c>
      <c r="C253" s="15" t="s">
        <v>28</v>
      </c>
      <c r="D253" s="15" t="s">
        <v>704</v>
      </c>
      <c r="E253" s="15" t="s">
        <v>705</v>
      </c>
      <c r="F253" s="16">
        <f t="shared" si="23"/>
        <v>149.3</v>
      </c>
      <c r="G253" s="15" t="s">
        <v>48</v>
      </c>
      <c r="H253" s="17">
        <v>35.54</v>
      </c>
      <c r="I253" s="17">
        <f t="shared" si="24"/>
        <v>32.03931</v>
      </c>
      <c r="J253" s="24">
        <f t="shared" si="27"/>
        <v>30.0225</v>
      </c>
      <c r="K253" s="25">
        <v>0.0985</v>
      </c>
      <c r="L253" s="26">
        <v>0.25</v>
      </c>
      <c r="M253" s="24">
        <v>40.03</v>
      </c>
      <c r="N253" s="27">
        <f t="shared" si="25"/>
        <v>5976.48</v>
      </c>
      <c r="O253" s="15"/>
      <c r="P253" s="15" t="s">
        <v>706</v>
      </c>
      <c r="Q253" s="15" t="s">
        <v>707</v>
      </c>
      <c r="R253" s="15" t="s">
        <v>32</v>
      </c>
      <c r="S253" s="15" t="s">
        <v>21</v>
      </c>
      <c r="T253" s="16">
        <v>149.3</v>
      </c>
      <c r="U253" s="17">
        <f t="shared" si="26"/>
        <v>5976.479</v>
      </c>
    </row>
    <row r="254" ht="45" customHeight="1" spans="1:21">
      <c r="A254" s="14" t="s">
        <v>26</v>
      </c>
      <c r="B254" s="15" t="s">
        <v>708</v>
      </c>
      <c r="C254" s="15" t="s">
        <v>28</v>
      </c>
      <c r="D254" s="15" t="s">
        <v>709</v>
      </c>
      <c r="E254" s="15" t="s">
        <v>710</v>
      </c>
      <c r="F254" s="16">
        <f t="shared" si="23"/>
        <v>115.3</v>
      </c>
      <c r="G254" s="15" t="s">
        <v>48</v>
      </c>
      <c r="H254" s="17">
        <v>20.25</v>
      </c>
      <c r="I254" s="17">
        <f t="shared" si="24"/>
        <v>18.255375</v>
      </c>
      <c r="J254" s="24">
        <f t="shared" si="27"/>
        <v>17.1075</v>
      </c>
      <c r="K254" s="25">
        <v>0.0985</v>
      </c>
      <c r="L254" s="26">
        <v>0.25</v>
      </c>
      <c r="M254" s="24">
        <v>22.81</v>
      </c>
      <c r="N254" s="27">
        <f t="shared" si="25"/>
        <v>2629.99</v>
      </c>
      <c r="O254" s="15"/>
      <c r="P254" s="15" t="s">
        <v>706</v>
      </c>
      <c r="Q254" s="15" t="s">
        <v>707</v>
      </c>
      <c r="R254" s="15" t="s">
        <v>32</v>
      </c>
      <c r="S254" s="15" t="s">
        <v>21</v>
      </c>
      <c r="T254" s="16">
        <v>115.3</v>
      </c>
      <c r="U254" s="17">
        <f t="shared" si="26"/>
        <v>2629.993</v>
      </c>
    </row>
    <row r="255" ht="45" customHeight="1" spans="1:21">
      <c r="A255" s="14" t="s">
        <v>26</v>
      </c>
      <c r="B255" s="15" t="s">
        <v>711</v>
      </c>
      <c r="C255" s="15" t="s">
        <v>28</v>
      </c>
      <c r="D255" s="15" t="s">
        <v>712</v>
      </c>
      <c r="E255" s="15" t="s">
        <v>713</v>
      </c>
      <c r="F255" s="16">
        <f t="shared" si="23"/>
        <v>173.1</v>
      </c>
      <c r="G255" s="15" t="s">
        <v>48</v>
      </c>
      <c r="H255" s="17">
        <v>25.51</v>
      </c>
      <c r="I255" s="17">
        <f t="shared" si="24"/>
        <v>22.997265</v>
      </c>
      <c r="J255" s="24">
        <f t="shared" si="27"/>
        <v>21.555</v>
      </c>
      <c r="K255" s="25">
        <v>0.0985</v>
      </c>
      <c r="L255" s="26">
        <v>0.25</v>
      </c>
      <c r="M255" s="24">
        <v>28.74</v>
      </c>
      <c r="N255" s="27">
        <f t="shared" si="25"/>
        <v>4974.89</v>
      </c>
      <c r="O255" s="15"/>
      <c r="P255" s="15" t="s">
        <v>706</v>
      </c>
      <c r="Q255" s="15" t="s">
        <v>707</v>
      </c>
      <c r="R255" s="15" t="s">
        <v>32</v>
      </c>
      <c r="S255" s="15" t="s">
        <v>21</v>
      </c>
      <c r="T255" s="16">
        <v>173.1</v>
      </c>
      <c r="U255" s="17">
        <f t="shared" si="26"/>
        <v>4974.894</v>
      </c>
    </row>
    <row r="256" ht="45" customHeight="1" spans="1:21">
      <c r="A256" s="14" t="s">
        <v>26</v>
      </c>
      <c r="B256" s="15" t="s">
        <v>714</v>
      </c>
      <c r="C256" s="15" t="s">
        <v>28</v>
      </c>
      <c r="D256" s="15" t="s">
        <v>715</v>
      </c>
      <c r="E256" s="15" t="s">
        <v>716</v>
      </c>
      <c r="F256" s="16">
        <f t="shared" si="23"/>
        <v>69.55</v>
      </c>
      <c r="G256" s="15" t="s">
        <v>48</v>
      </c>
      <c r="H256" s="17">
        <v>31.74</v>
      </c>
      <c r="I256" s="17">
        <f t="shared" si="24"/>
        <v>28.61361</v>
      </c>
      <c r="J256" s="24">
        <f t="shared" si="27"/>
        <v>26.8275</v>
      </c>
      <c r="K256" s="25">
        <v>0.0985</v>
      </c>
      <c r="L256" s="26">
        <v>0.25</v>
      </c>
      <c r="M256" s="24">
        <v>35.77</v>
      </c>
      <c r="N256" s="27">
        <f t="shared" si="25"/>
        <v>2487.8</v>
      </c>
      <c r="O256" s="15"/>
      <c r="P256" s="15" t="s">
        <v>706</v>
      </c>
      <c r="Q256" s="15" t="s">
        <v>707</v>
      </c>
      <c r="R256" s="15" t="s">
        <v>32</v>
      </c>
      <c r="S256" s="15" t="s">
        <v>21</v>
      </c>
      <c r="T256" s="16">
        <v>69.55</v>
      </c>
      <c r="U256" s="17">
        <f t="shared" si="26"/>
        <v>2487.8035</v>
      </c>
    </row>
    <row r="257" ht="51" customHeight="1" spans="1:21">
      <c r="A257" s="14" t="s">
        <v>26</v>
      </c>
      <c r="B257" s="15" t="s">
        <v>717</v>
      </c>
      <c r="C257" s="15" t="s">
        <v>28</v>
      </c>
      <c r="D257" s="15" t="s">
        <v>718</v>
      </c>
      <c r="E257" s="15" t="s">
        <v>719</v>
      </c>
      <c r="F257" s="16">
        <f t="shared" si="23"/>
        <v>32</v>
      </c>
      <c r="G257" s="15" t="s">
        <v>40</v>
      </c>
      <c r="H257" s="17">
        <v>9.74</v>
      </c>
      <c r="I257" s="17">
        <f t="shared" si="24"/>
        <v>8.78061</v>
      </c>
      <c r="J257" s="24">
        <f t="shared" si="27"/>
        <v>8.23125</v>
      </c>
      <c r="K257" s="25">
        <v>0.0985</v>
      </c>
      <c r="L257" s="26">
        <v>0.25</v>
      </c>
      <c r="M257" s="24">
        <f>ROUND(I257,2)+(ROUND(I257,2)*L257)</f>
        <v>10.975</v>
      </c>
      <c r="N257" s="27">
        <f t="shared" si="25"/>
        <v>351.36</v>
      </c>
      <c r="O257" s="15"/>
      <c r="P257" s="15" t="s">
        <v>706</v>
      </c>
      <c r="Q257" s="15" t="s">
        <v>707</v>
      </c>
      <c r="R257" s="15" t="s">
        <v>32</v>
      </c>
      <c r="S257" s="15" t="s">
        <v>21</v>
      </c>
      <c r="T257" s="16">
        <v>32</v>
      </c>
      <c r="U257" s="17">
        <f t="shared" si="26"/>
        <v>351.36</v>
      </c>
    </row>
    <row r="258" ht="45" customHeight="1" spans="1:21">
      <c r="A258" s="14" t="s">
        <v>26</v>
      </c>
      <c r="B258" s="15" t="s">
        <v>720</v>
      </c>
      <c r="C258" s="15" t="s">
        <v>28</v>
      </c>
      <c r="D258" s="15" t="s">
        <v>721</v>
      </c>
      <c r="E258" s="15" t="s">
        <v>722</v>
      </c>
      <c r="F258" s="16">
        <f t="shared" si="23"/>
        <v>31</v>
      </c>
      <c r="G258" s="15" t="s">
        <v>40</v>
      </c>
      <c r="H258" s="17">
        <v>14.58</v>
      </c>
      <c r="I258" s="17">
        <f t="shared" si="24"/>
        <v>13.14387</v>
      </c>
      <c r="J258" s="24">
        <f t="shared" si="27"/>
        <v>12.31875</v>
      </c>
      <c r="K258" s="25">
        <v>0.0985</v>
      </c>
      <c r="L258" s="26">
        <v>0.25</v>
      </c>
      <c r="M258" s="24">
        <f>ROUND(I258,2)+(ROUND(I258,2)*L258)</f>
        <v>16.425</v>
      </c>
      <c r="N258" s="27">
        <f t="shared" si="25"/>
        <v>509.33</v>
      </c>
      <c r="O258" s="15"/>
      <c r="P258" s="15" t="s">
        <v>706</v>
      </c>
      <c r="Q258" s="15" t="s">
        <v>707</v>
      </c>
      <c r="R258" s="15" t="s">
        <v>32</v>
      </c>
      <c r="S258" s="15" t="s">
        <v>21</v>
      </c>
      <c r="T258" s="16">
        <v>31</v>
      </c>
      <c r="U258" s="17">
        <f t="shared" si="26"/>
        <v>509.33</v>
      </c>
    </row>
    <row r="259" ht="45" customHeight="1" spans="1:21">
      <c r="A259" s="14" t="s">
        <v>26</v>
      </c>
      <c r="B259" s="15" t="s">
        <v>723</v>
      </c>
      <c r="C259" s="15" t="s">
        <v>28</v>
      </c>
      <c r="D259" s="15" t="s">
        <v>724</v>
      </c>
      <c r="E259" s="15" t="s">
        <v>725</v>
      </c>
      <c r="F259" s="16">
        <f t="shared" si="23"/>
        <v>9</v>
      </c>
      <c r="G259" s="15" t="s">
        <v>40</v>
      </c>
      <c r="H259" s="17">
        <v>21.83</v>
      </c>
      <c r="I259" s="17">
        <f t="shared" si="24"/>
        <v>19.679745</v>
      </c>
      <c r="J259" s="24">
        <f t="shared" si="27"/>
        <v>18.45</v>
      </c>
      <c r="K259" s="25">
        <v>0.0985</v>
      </c>
      <c r="L259" s="26">
        <v>0.25</v>
      </c>
      <c r="M259" s="24">
        <f>ROUND(I259,2)+(ROUND(I259,2)*L259)</f>
        <v>24.6</v>
      </c>
      <c r="N259" s="27">
        <f t="shared" si="25"/>
        <v>221.4</v>
      </c>
      <c r="O259" s="15"/>
      <c r="P259" s="15" t="s">
        <v>706</v>
      </c>
      <c r="Q259" s="15" t="s">
        <v>707</v>
      </c>
      <c r="R259" s="15" t="s">
        <v>32</v>
      </c>
      <c r="S259" s="15" t="s">
        <v>21</v>
      </c>
      <c r="T259" s="16">
        <v>9</v>
      </c>
      <c r="U259" s="17">
        <f t="shared" si="26"/>
        <v>221.4</v>
      </c>
    </row>
    <row r="260" ht="51" customHeight="1" spans="1:21">
      <c r="A260" s="14" t="s">
        <v>26</v>
      </c>
      <c r="B260" s="15" t="s">
        <v>726</v>
      </c>
      <c r="C260" s="15" t="s">
        <v>28</v>
      </c>
      <c r="D260" s="15" t="s">
        <v>727</v>
      </c>
      <c r="E260" s="15" t="s">
        <v>728</v>
      </c>
      <c r="F260" s="16">
        <f t="shared" si="23"/>
        <v>6</v>
      </c>
      <c r="G260" s="15" t="s">
        <v>40</v>
      </c>
      <c r="H260" s="17">
        <v>26.22</v>
      </c>
      <c r="I260" s="17">
        <f t="shared" si="24"/>
        <v>23.63733</v>
      </c>
      <c r="J260" s="24">
        <f t="shared" si="27"/>
        <v>22.1475</v>
      </c>
      <c r="K260" s="25">
        <v>0.0985</v>
      </c>
      <c r="L260" s="26">
        <v>0.25</v>
      </c>
      <c r="M260" s="24">
        <v>29.53</v>
      </c>
      <c r="N260" s="27">
        <f t="shared" si="25"/>
        <v>177.18</v>
      </c>
      <c r="O260" s="15"/>
      <c r="P260" s="15" t="s">
        <v>706</v>
      </c>
      <c r="Q260" s="15" t="s">
        <v>707</v>
      </c>
      <c r="R260" s="15" t="s">
        <v>32</v>
      </c>
      <c r="S260" s="15" t="s">
        <v>21</v>
      </c>
      <c r="T260" s="16">
        <v>6</v>
      </c>
      <c r="U260" s="17">
        <f t="shared" si="26"/>
        <v>177.18</v>
      </c>
    </row>
    <row r="261" ht="51" customHeight="1" spans="1:21">
      <c r="A261" s="14" t="s">
        <v>26</v>
      </c>
      <c r="B261" s="15" t="s">
        <v>729</v>
      </c>
      <c r="C261" s="15" t="s">
        <v>28</v>
      </c>
      <c r="D261" s="15" t="s">
        <v>730</v>
      </c>
      <c r="E261" s="15" t="s">
        <v>731</v>
      </c>
      <c r="F261" s="16">
        <f t="shared" si="23"/>
        <v>12</v>
      </c>
      <c r="G261" s="15" t="s">
        <v>40</v>
      </c>
      <c r="H261" s="17">
        <v>25.46</v>
      </c>
      <c r="I261" s="17">
        <f t="shared" si="24"/>
        <v>22.95219</v>
      </c>
      <c r="J261" s="24">
        <f t="shared" si="27"/>
        <v>21.5025</v>
      </c>
      <c r="K261" s="25">
        <v>0.0985</v>
      </c>
      <c r="L261" s="26">
        <v>0.25</v>
      </c>
      <c r="M261" s="24">
        <v>28.67</v>
      </c>
      <c r="N261" s="27">
        <f t="shared" si="25"/>
        <v>344.04</v>
      </c>
      <c r="O261" s="15"/>
      <c r="P261" s="15" t="s">
        <v>706</v>
      </c>
      <c r="Q261" s="15" t="s">
        <v>707</v>
      </c>
      <c r="R261" s="15" t="s">
        <v>32</v>
      </c>
      <c r="S261" s="15" t="s">
        <v>21</v>
      </c>
      <c r="T261" s="16">
        <v>12</v>
      </c>
      <c r="U261" s="17">
        <f t="shared" si="26"/>
        <v>344.04</v>
      </c>
    </row>
    <row r="262" ht="45" customHeight="1" spans="1:21">
      <c r="A262" s="14" t="s">
        <v>26</v>
      </c>
      <c r="B262" s="15" t="s">
        <v>732</v>
      </c>
      <c r="C262" s="15" t="s">
        <v>28</v>
      </c>
      <c r="D262" s="15" t="s">
        <v>733</v>
      </c>
      <c r="E262" s="15" t="s">
        <v>734</v>
      </c>
      <c r="F262" s="16">
        <f t="shared" si="23"/>
        <v>28</v>
      </c>
      <c r="G262" s="15" t="s">
        <v>40</v>
      </c>
      <c r="H262" s="17">
        <v>20.94</v>
      </c>
      <c r="I262" s="17">
        <f t="shared" si="24"/>
        <v>18.87741</v>
      </c>
      <c r="J262" s="24">
        <f t="shared" si="27"/>
        <v>17.7</v>
      </c>
      <c r="K262" s="25">
        <v>0.0985</v>
      </c>
      <c r="L262" s="26">
        <v>0.25</v>
      </c>
      <c r="M262" s="24">
        <f>ROUND(I262,2)+(ROUND(I262,2)*L262)</f>
        <v>23.6</v>
      </c>
      <c r="N262" s="27">
        <f t="shared" si="25"/>
        <v>660.8</v>
      </c>
      <c r="O262" s="15"/>
      <c r="P262" s="15" t="s">
        <v>706</v>
      </c>
      <c r="Q262" s="15" t="s">
        <v>707</v>
      </c>
      <c r="R262" s="15" t="s">
        <v>32</v>
      </c>
      <c r="S262" s="15" t="s">
        <v>21</v>
      </c>
      <c r="T262" s="16">
        <v>28</v>
      </c>
      <c r="U262" s="17">
        <f t="shared" si="26"/>
        <v>660.8</v>
      </c>
    </row>
    <row r="263" ht="45" customHeight="1" spans="1:21">
      <c r="A263" s="14" t="s">
        <v>26</v>
      </c>
      <c r="B263" s="15" t="s">
        <v>735</v>
      </c>
      <c r="C263" s="15" t="s">
        <v>28</v>
      </c>
      <c r="D263" s="15" t="s">
        <v>736</v>
      </c>
      <c r="E263" s="15" t="s">
        <v>737</v>
      </c>
      <c r="F263" s="16">
        <f t="shared" si="23"/>
        <v>18</v>
      </c>
      <c r="G263" s="15" t="s">
        <v>40</v>
      </c>
      <c r="H263" s="17">
        <v>13.92</v>
      </c>
      <c r="I263" s="17">
        <f t="shared" si="24"/>
        <v>12.54888</v>
      </c>
      <c r="J263" s="24">
        <f t="shared" si="27"/>
        <v>11.76</v>
      </c>
      <c r="K263" s="25">
        <v>0.0985</v>
      </c>
      <c r="L263" s="26">
        <v>0.25</v>
      </c>
      <c r="M263" s="24">
        <v>15.68</v>
      </c>
      <c r="N263" s="27">
        <f t="shared" si="25"/>
        <v>282.24</v>
      </c>
      <c r="O263" s="15"/>
      <c r="P263" s="15" t="s">
        <v>706</v>
      </c>
      <c r="Q263" s="15" t="s">
        <v>707</v>
      </c>
      <c r="R263" s="15" t="s">
        <v>32</v>
      </c>
      <c r="S263" s="15" t="s">
        <v>21</v>
      </c>
      <c r="T263" s="16">
        <v>18</v>
      </c>
      <c r="U263" s="17">
        <f t="shared" si="26"/>
        <v>282.24</v>
      </c>
    </row>
    <row r="264" ht="54" customHeight="1" spans="1:21">
      <c r="A264" s="14" t="s">
        <v>26</v>
      </c>
      <c r="B264" s="15" t="s">
        <v>738</v>
      </c>
      <c r="C264" s="15" t="s">
        <v>28</v>
      </c>
      <c r="D264" s="15" t="s">
        <v>739</v>
      </c>
      <c r="E264" s="29" t="s">
        <v>740</v>
      </c>
      <c r="F264" s="16">
        <f t="shared" si="23"/>
        <v>106</v>
      </c>
      <c r="G264" s="15" t="s">
        <v>40</v>
      </c>
      <c r="H264" s="17">
        <v>9.53</v>
      </c>
      <c r="I264" s="17">
        <f t="shared" si="24"/>
        <v>8.591295</v>
      </c>
      <c r="J264" s="24">
        <f t="shared" si="27"/>
        <v>8.0475</v>
      </c>
      <c r="K264" s="25">
        <v>0.0985</v>
      </c>
      <c r="L264" s="26">
        <v>0.25</v>
      </c>
      <c r="M264" s="24">
        <v>10.73</v>
      </c>
      <c r="N264" s="27">
        <f t="shared" si="25"/>
        <v>1137.38</v>
      </c>
      <c r="O264" s="15"/>
      <c r="P264" s="15" t="s">
        <v>706</v>
      </c>
      <c r="Q264" s="15" t="s">
        <v>707</v>
      </c>
      <c r="R264" s="15" t="s">
        <v>32</v>
      </c>
      <c r="S264" s="15" t="s">
        <v>21</v>
      </c>
      <c r="T264" s="16">
        <v>106</v>
      </c>
      <c r="U264" s="17">
        <f t="shared" si="26"/>
        <v>1137.38</v>
      </c>
    </row>
    <row r="265" ht="45" customHeight="1" spans="1:21">
      <c r="A265" s="14" t="s">
        <v>26</v>
      </c>
      <c r="B265" s="15" t="s">
        <v>741</v>
      </c>
      <c r="C265" s="15" t="s">
        <v>42</v>
      </c>
      <c r="D265" s="15" t="s">
        <v>742</v>
      </c>
      <c r="E265" s="15" t="s">
        <v>743</v>
      </c>
      <c r="F265" s="16">
        <f t="shared" si="23"/>
        <v>14</v>
      </c>
      <c r="G265" s="15" t="s">
        <v>40</v>
      </c>
      <c r="H265" s="17">
        <v>48.69</v>
      </c>
      <c r="I265" s="17">
        <f t="shared" si="24"/>
        <v>43.894035</v>
      </c>
      <c r="J265" s="24">
        <f t="shared" si="27"/>
        <v>41.146875</v>
      </c>
      <c r="K265" s="25">
        <v>0.0985</v>
      </c>
      <c r="L265" s="26">
        <v>0.25</v>
      </c>
      <c r="M265" s="24">
        <f>ROUND(I265,2)+(ROUND(I265,2)*L265)</f>
        <v>54.8625</v>
      </c>
      <c r="N265" s="27">
        <f t="shared" si="25"/>
        <v>768.04</v>
      </c>
      <c r="O265" s="15"/>
      <c r="P265" s="15" t="s">
        <v>706</v>
      </c>
      <c r="Q265" s="15" t="s">
        <v>707</v>
      </c>
      <c r="R265" s="15" t="s">
        <v>32</v>
      </c>
      <c r="S265" s="15" t="s">
        <v>21</v>
      </c>
      <c r="T265" s="16">
        <v>14</v>
      </c>
      <c r="U265" s="17">
        <f t="shared" si="26"/>
        <v>768.04</v>
      </c>
    </row>
    <row r="266" ht="45" customHeight="1" spans="1:21">
      <c r="A266" s="14" t="s">
        <v>26</v>
      </c>
      <c r="B266" s="15" t="s">
        <v>744</v>
      </c>
      <c r="C266" s="15" t="s">
        <v>28</v>
      </c>
      <c r="D266" s="15" t="s">
        <v>745</v>
      </c>
      <c r="E266" s="15" t="s">
        <v>746</v>
      </c>
      <c r="F266" s="16">
        <f t="shared" si="23"/>
        <v>8</v>
      </c>
      <c r="G266" s="15" t="s">
        <v>40</v>
      </c>
      <c r="H266" s="17">
        <v>48.7</v>
      </c>
      <c r="I266" s="17">
        <f t="shared" si="24"/>
        <v>43.90305</v>
      </c>
      <c r="J266" s="24">
        <f t="shared" si="27"/>
        <v>41.145</v>
      </c>
      <c r="K266" s="25">
        <v>0.0985</v>
      </c>
      <c r="L266" s="26">
        <v>0.25</v>
      </c>
      <c r="M266" s="24">
        <v>54.86</v>
      </c>
      <c r="N266" s="27">
        <f t="shared" si="25"/>
        <v>438.88</v>
      </c>
      <c r="O266" s="15"/>
      <c r="P266" s="15" t="s">
        <v>706</v>
      </c>
      <c r="Q266" s="15" t="s">
        <v>707</v>
      </c>
      <c r="R266" s="15" t="s">
        <v>32</v>
      </c>
      <c r="S266" s="15" t="s">
        <v>21</v>
      </c>
      <c r="T266" s="16">
        <v>8</v>
      </c>
      <c r="U266" s="17">
        <f t="shared" si="26"/>
        <v>438.88</v>
      </c>
    </row>
    <row r="267" ht="45" customHeight="1" spans="1:21">
      <c r="A267" s="14" t="s">
        <v>26</v>
      </c>
      <c r="B267" s="15" t="s">
        <v>747</v>
      </c>
      <c r="C267" s="15" t="s">
        <v>42</v>
      </c>
      <c r="D267" s="15" t="s">
        <v>748</v>
      </c>
      <c r="E267" s="15" t="s">
        <v>749</v>
      </c>
      <c r="F267" s="16">
        <f t="shared" si="23"/>
        <v>1</v>
      </c>
      <c r="G267" s="15" t="s">
        <v>40</v>
      </c>
      <c r="H267" s="17">
        <v>37.59</v>
      </c>
      <c r="I267" s="17">
        <f t="shared" si="24"/>
        <v>33.887385</v>
      </c>
      <c r="J267" s="24">
        <f t="shared" si="27"/>
        <v>31.771875</v>
      </c>
      <c r="K267" s="25">
        <v>0.0985</v>
      </c>
      <c r="L267" s="26">
        <v>0.25</v>
      </c>
      <c r="M267" s="24">
        <f>ROUND(I267,2)+(ROUND(I267,2)*L267)</f>
        <v>42.3625</v>
      </c>
      <c r="N267" s="27">
        <f t="shared" si="25"/>
        <v>42.36</v>
      </c>
      <c r="O267" s="15"/>
      <c r="P267" s="15" t="s">
        <v>706</v>
      </c>
      <c r="Q267" s="15" t="s">
        <v>707</v>
      </c>
      <c r="R267" s="15" t="s">
        <v>32</v>
      </c>
      <c r="S267" s="15" t="s">
        <v>21</v>
      </c>
      <c r="T267" s="16">
        <v>1</v>
      </c>
      <c r="U267" s="17">
        <f t="shared" si="26"/>
        <v>42.36</v>
      </c>
    </row>
    <row r="268" ht="45" customHeight="1" spans="1:21">
      <c r="A268" s="14" t="s">
        <v>26</v>
      </c>
      <c r="B268" s="15" t="s">
        <v>750</v>
      </c>
      <c r="C268" s="15" t="s">
        <v>28</v>
      </c>
      <c r="D268" s="15" t="s">
        <v>751</v>
      </c>
      <c r="E268" s="15" t="s">
        <v>752</v>
      </c>
      <c r="F268" s="16">
        <f t="shared" si="23"/>
        <v>9</v>
      </c>
      <c r="G268" s="15" t="s">
        <v>40</v>
      </c>
      <c r="H268" s="17">
        <v>17.97</v>
      </c>
      <c r="I268" s="17">
        <f t="shared" si="24"/>
        <v>16.199955</v>
      </c>
      <c r="J268" s="24">
        <f t="shared" si="27"/>
        <v>15.1725</v>
      </c>
      <c r="K268" s="25">
        <v>0.0985</v>
      </c>
      <c r="L268" s="26">
        <v>0.25</v>
      </c>
      <c r="M268" s="24">
        <v>20.23</v>
      </c>
      <c r="N268" s="27">
        <f t="shared" si="25"/>
        <v>182.07</v>
      </c>
      <c r="O268" s="15"/>
      <c r="P268" s="15" t="s">
        <v>706</v>
      </c>
      <c r="Q268" s="15" t="s">
        <v>707</v>
      </c>
      <c r="R268" s="15" t="s">
        <v>32</v>
      </c>
      <c r="S268" s="15" t="s">
        <v>21</v>
      </c>
      <c r="T268" s="16">
        <v>9</v>
      </c>
      <c r="U268" s="17">
        <f t="shared" si="26"/>
        <v>182.07</v>
      </c>
    </row>
    <row r="269" ht="45" customHeight="1" spans="1:21">
      <c r="A269" s="14" t="s">
        <v>26</v>
      </c>
      <c r="B269" s="15" t="s">
        <v>753</v>
      </c>
      <c r="C269" s="15" t="s">
        <v>28</v>
      </c>
      <c r="D269" s="15" t="s">
        <v>754</v>
      </c>
      <c r="E269" s="15" t="s">
        <v>755</v>
      </c>
      <c r="F269" s="16">
        <f t="shared" si="23"/>
        <v>1</v>
      </c>
      <c r="G269" s="15" t="s">
        <v>40</v>
      </c>
      <c r="H269" s="17">
        <v>28.72</v>
      </c>
      <c r="I269" s="17">
        <f t="shared" si="24"/>
        <v>25.89108</v>
      </c>
      <c r="J269" s="24">
        <f t="shared" si="27"/>
        <v>24.271875</v>
      </c>
      <c r="K269" s="25">
        <v>0.0985</v>
      </c>
      <c r="L269" s="26">
        <v>0.25</v>
      </c>
      <c r="M269" s="24">
        <f>ROUND(I269,2)+(ROUND(I269,2)*L269)</f>
        <v>32.3625</v>
      </c>
      <c r="N269" s="27">
        <f t="shared" si="25"/>
        <v>32.36</v>
      </c>
      <c r="O269" s="15"/>
      <c r="P269" s="15" t="s">
        <v>706</v>
      </c>
      <c r="Q269" s="15" t="s">
        <v>707</v>
      </c>
      <c r="R269" s="15" t="s">
        <v>32</v>
      </c>
      <c r="S269" s="15" t="s">
        <v>21</v>
      </c>
      <c r="T269" s="16">
        <v>1</v>
      </c>
      <c r="U269" s="17">
        <f t="shared" si="26"/>
        <v>32.36</v>
      </c>
    </row>
    <row r="270" ht="45" customHeight="1" spans="1:21">
      <c r="A270" s="14" t="s">
        <v>26</v>
      </c>
      <c r="B270" s="15" t="s">
        <v>756</v>
      </c>
      <c r="C270" s="15" t="s">
        <v>28</v>
      </c>
      <c r="D270" s="15" t="s">
        <v>698</v>
      </c>
      <c r="E270" s="15" t="s">
        <v>699</v>
      </c>
      <c r="F270" s="16">
        <f t="shared" si="23"/>
        <v>16</v>
      </c>
      <c r="G270" s="15" t="s">
        <v>40</v>
      </c>
      <c r="H270" s="17">
        <v>539.55</v>
      </c>
      <c r="I270" s="17">
        <f t="shared" si="24"/>
        <v>485.9025435</v>
      </c>
      <c r="J270" s="24">
        <f t="shared" si="27"/>
        <v>455.53125</v>
      </c>
      <c r="K270" s="25">
        <v>0.09943</v>
      </c>
      <c r="L270" s="26">
        <v>0.25</v>
      </c>
      <c r="M270" s="24">
        <f>ROUND(I270,2)+(ROUND(I270,2)*L270)</f>
        <v>607.375</v>
      </c>
      <c r="N270" s="27">
        <f t="shared" si="25"/>
        <v>9718.08</v>
      </c>
      <c r="O270" s="15"/>
      <c r="P270" s="15" t="s">
        <v>706</v>
      </c>
      <c r="Q270" s="15" t="s">
        <v>707</v>
      </c>
      <c r="R270" s="15" t="s">
        <v>32</v>
      </c>
      <c r="S270" s="15" t="s">
        <v>21</v>
      </c>
      <c r="T270" s="16">
        <v>16</v>
      </c>
      <c r="U270" s="17">
        <f t="shared" si="26"/>
        <v>9718.08</v>
      </c>
    </row>
    <row r="271" ht="45" customHeight="1" spans="1:21">
      <c r="A271" s="14" t="s">
        <v>26</v>
      </c>
      <c r="B271" s="15" t="s">
        <v>757</v>
      </c>
      <c r="C271" s="15" t="s">
        <v>28</v>
      </c>
      <c r="D271" s="15" t="s">
        <v>758</v>
      </c>
      <c r="E271" s="15" t="s">
        <v>759</v>
      </c>
      <c r="F271" s="16">
        <f t="shared" si="23"/>
        <v>19</v>
      </c>
      <c r="G271" s="15" t="s">
        <v>40</v>
      </c>
      <c r="H271" s="17">
        <v>92.75</v>
      </c>
      <c r="I271" s="17">
        <f t="shared" si="24"/>
        <v>83.614125</v>
      </c>
      <c r="J271" s="24">
        <f t="shared" si="27"/>
        <v>78.384375</v>
      </c>
      <c r="K271" s="25">
        <v>0.0985</v>
      </c>
      <c r="L271" s="26">
        <v>0.25</v>
      </c>
      <c r="M271" s="24">
        <f>ROUND(I271,2)+(ROUND(I271,2)*L271)</f>
        <v>104.5125</v>
      </c>
      <c r="N271" s="27">
        <f t="shared" si="25"/>
        <v>1985.69</v>
      </c>
      <c r="O271" s="15"/>
      <c r="P271" s="15" t="s">
        <v>706</v>
      </c>
      <c r="Q271" s="15" t="s">
        <v>707</v>
      </c>
      <c r="R271" s="15" t="s">
        <v>32</v>
      </c>
      <c r="S271" s="15" t="s">
        <v>21</v>
      </c>
      <c r="T271" s="16">
        <v>19</v>
      </c>
      <c r="U271" s="17">
        <f t="shared" si="26"/>
        <v>1985.69</v>
      </c>
    </row>
    <row r="272" ht="45" customHeight="1" spans="1:21">
      <c r="A272" s="14" t="s">
        <v>26</v>
      </c>
      <c r="B272" s="15" t="s">
        <v>760</v>
      </c>
      <c r="C272" s="15" t="s">
        <v>28</v>
      </c>
      <c r="D272" s="15" t="s">
        <v>761</v>
      </c>
      <c r="E272" s="15" t="s">
        <v>762</v>
      </c>
      <c r="F272" s="16">
        <f t="shared" si="23"/>
        <v>12</v>
      </c>
      <c r="G272" s="15" t="s">
        <v>40</v>
      </c>
      <c r="H272" s="17">
        <v>76.19</v>
      </c>
      <c r="I272" s="17">
        <f t="shared" si="24"/>
        <v>68.685285</v>
      </c>
      <c r="J272" s="24">
        <f t="shared" si="27"/>
        <v>64.3875</v>
      </c>
      <c r="K272" s="25">
        <v>0.0985</v>
      </c>
      <c r="L272" s="26">
        <v>0.25</v>
      </c>
      <c r="M272" s="24">
        <v>85.85</v>
      </c>
      <c r="N272" s="27">
        <f t="shared" si="25"/>
        <v>1030.2</v>
      </c>
      <c r="O272" s="15"/>
      <c r="P272" s="15" t="s">
        <v>706</v>
      </c>
      <c r="Q272" s="15" t="s">
        <v>707</v>
      </c>
      <c r="R272" s="15" t="s">
        <v>32</v>
      </c>
      <c r="S272" s="15" t="s">
        <v>21</v>
      </c>
      <c r="T272" s="16">
        <v>12</v>
      </c>
      <c r="U272" s="17">
        <f t="shared" si="26"/>
        <v>1030.2</v>
      </c>
    </row>
    <row r="273" ht="45" customHeight="1" spans="1:21">
      <c r="A273" s="14" t="s">
        <v>26</v>
      </c>
      <c r="B273" s="15" t="s">
        <v>763</v>
      </c>
      <c r="C273" s="15" t="s">
        <v>42</v>
      </c>
      <c r="D273" s="15" t="s">
        <v>764</v>
      </c>
      <c r="E273" s="15" t="s">
        <v>765</v>
      </c>
      <c r="F273" s="16">
        <f t="shared" si="23"/>
        <v>4</v>
      </c>
      <c r="G273" s="15" t="s">
        <v>40</v>
      </c>
      <c r="H273" s="17">
        <v>76.19</v>
      </c>
      <c r="I273" s="17">
        <f t="shared" si="24"/>
        <v>68.685285</v>
      </c>
      <c r="J273" s="24">
        <f t="shared" si="27"/>
        <v>64.3875</v>
      </c>
      <c r="K273" s="25">
        <v>0.0985</v>
      </c>
      <c r="L273" s="26">
        <v>0.25</v>
      </c>
      <c r="M273" s="24">
        <v>85.85</v>
      </c>
      <c r="N273" s="27">
        <f t="shared" si="25"/>
        <v>343.4</v>
      </c>
      <c r="O273" s="15"/>
      <c r="P273" s="15" t="s">
        <v>706</v>
      </c>
      <c r="Q273" s="15" t="s">
        <v>707</v>
      </c>
      <c r="R273" s="15" t="s">
        <v>32</v>
      </c>
      <c r="S273" s="15" t="s">
        <v>21</v>
      </c>
      <c r="T273" s="16">
        <v>4</v>
      </c>
      <c r="U273" s="17">
        <f t="shared" si="26"/>
        <v>343.4</v>
      </c>
    </row>
    <row r="274" ht="45" customHeight="1" spans="1:21">
      <c r="A274" s="14" t="s">
        <v>26</v>
      </c>
      <c r="B274" s="15" t="s">
        <v>766</v>
      </c>
      <c r="C274" s="15" t="s">
        <v>28</v>
      </c>
      <c r="D274" s="15" t="s">
        <v>767</v>
      </c>
      <c r="E274" s="15" t="s">
        <v>768</v>
      </c>
      <c r="F274" s="16">
        <f t="shared" si="23"/>
        <v>13</v>
      </c>
      <c r="G274" s="15" t="s">
        <v>40</v>
      </c>
      <c r="H274" s="17">
        <v>22.44</v>
      </c>
      <c r="I274" s="17">
        <f t="shared" si="24"/>
        <v>20.22966</v>
      </c>
      <c r="J274" s="24">
        <f t="shared" si="27"/>
        <v>18.96</v>
      </c>
      <c r="K274" s="25">
        <v>0.0985</v>
      </c>
      <c r="L274" s="26">
        <v>0.25</v>
      </c>
      <c r="M274" s="24">
        <v>25.28</v>
      </c>
      <c r="N274" s="27">
        <f t="shared" si="25"/>
        <v>328.64</v>
      </c>
      <c r="O274" s="15"/>
      <c r="P274" s="15" t="s">
        <v>706</v>
      </c>
      <c r="Q274" s="15" t="s">
        <v>707</v>
      </c>
      <c r="R274" s="15" t="s">
        <v>32</v>
      </c>
      <c r="S274" s="15" t="s">
        <v>21</v>
      </c>
      <c r="T274" s="16">
        <v>13</v>
      </c>
      <c r="U274" s="17">
        <f t="shared" si="26"/>
        <v>328.64</v>
      </c>
    </row>
    <row r="275" ht="45" customHeight="1" spans="1:21">
      <c r="A275" s="14" t="s">
        <v>26</v>
      </c>
      <c r="B275" s="15" t="s">
        <v>769</v>
      </c>
      <c r="C275" s="15" t="s">
        <v>28</v>
      </c>
      <c r="D275" s="15" t="s">
        <v>770</v>
      </c>
      <c r="E275" s="15" t="s">
        <v>771</v>
      </c>
      <c r="F275" s="16">
        <f t="shared" si="23"/>
        <v>1</v>
      </c>
      <c r="G275" s="15" t="s">
        <v>40</v>
      </c>
      <c r="H275" s="17">
        <v>47.81</v>
      </c>
      <c r="I275" s="17">
        <f t="shared" si="24"/>
        <v>43.100715</v>
      </c>
      <c r="J275" s="24">
        <f t="shared" si="27"/>
        <v>40.4025</v>
      </c>
      <c r="K275" s="25">
        <v>0.0985</v>
      </c>
      <c r="L275" s="26">
        <v>0.25</v>
      </c>
      <c r="M275" s="24">
        <v>53.87</v>
      </c>
      <c r="N275" s="27">
        <f t="shared" si="25"/>
        <v>53.87</v>
      </c>
      <c r="O275" s="15"/>
      <c r="P275" s="15" t="s">
        <v>706</v>
      </c>
      <c r="Q275" s="15" t="s">
        <v>707</v>
      </c>
      <c r="R275" s="15" t="s">
        <v>32</v>
      </c>
      <c r="S275" s="15" t="s">
        <v>21</v>
      </c>
      <c r="T275" s="16">
        <v>1</v>
      </c>
      <c r="U275" s="17">
        <f t="shared" si="26"/>
        <v>53.87</v>
      </c>
    </row>
    <row r="276" ht="45" customHeight="1" spans="1:21">
      <c r="A276" s="14" t="s">
        <v>26</v>
      </c>
      <c r="B276" s="15" t="s">
        <v>772</v>
      </c>
      <c r="C276" s="15" t="s">
        <v>28</v>
      </c>
      <c r="D276" s="15" t="s">
        <v>773</v>
      </c>
      <c r="E276" s="15" t="s">
        <v>774</v>
      </c>
      <c r="F276" s="16">
        <f t="shared" si="23"/>
        <v>12</v>
      </c>
      <c r="G276" s="15" t="s">
        <v>40</v>
      </c>
      <c r="H276" s="17">
        <v>17.85</v>
      </c>
      <c r="I276" s="17">
        <f t="shared" si="24"/>
        <v>16.091775</v>
      </c>
      <c r="J276" s="24">
        <f t="shared" si="27"/>
        <v>15.084375</v>
      </c>
      <c r="K276" s="25">
        <v>0.0985</v>
      </c>
      <c r="L276" s="26">
        <v>0.25</v>
      </c>
      <c r="M276" s="24">
        <f>ROUND(I276,2)+(ROUND(I276,2)*L276)</f>
        <v>20.1125</v>
      </c>
      <c r="N276" s="27">
        <f t="shared" si="25"/>
        <v>241.32</v>
      </c>
      <c r="O276" s="15"/>
      <c r="P276" s="15" t="s">
        <v>706</v>
      </c>
      <c r="Q276" s="15" t="s">
        <v>707</v>
      </c>
      <c r="R276" s="15" t="s">
        <v>32</v>
      </c>
      <c r="S276" s="15" t="s">
        <v>21</v>
      </c>
      <c r="T276" s="16">
        <v>12</v>
      </c>
      <c r="U276" s="17">
        <f t="shared" si="26"/>
        <v>241.32</v>
      </c>
    </row>
    <row r="277" ht="45" customHeight="1" spans="1:21">
      <c r="A277" s="14" t="s">
        <v>26</v>
      </c>
      <c r="B277" s="15" t="s">
        <v>775</v>
      </c>
      <c r="C277" s="15" t="s">
        <v>28</v>
      </c>
      <c r="D277" s="15" t="s">
        <v>776</v>
      </c>
      <c r="E277" s="15" t="s">
        <v>777</v>
      </c>
      <c r="F277" s="16">
        <f t="shared" si="23"/>
        <v>15</v>
      </c>
      <c r="G277" s="15" t="s">
        <v>40</v>
      </c>
      <c r="H277" s="17">
        <v>16.89</v>
      </c>
      <c r="I277" s="17">
        <f t="shared" si="24"/>
        <v>15.226335</v>
      </c>
      <c r="J277" s="24">
        <f t="shared" si="27"/>
        <v>14.2725</v>
      </c>
      <c r="K277" s="25">
        <v>0.0985</v>
      </c>
      <c r="L277" s="26">
        <v>0.25</v>
      </c>
      <c r="M277" s="24">
        <v>19.03</v>
      </c>
      <c r="N277" s="27">
        <f t="shared" si="25"/>
        <v>285.45</v>
      </c>
      <c r="O277" s="15"/>
      <c r="P277" s="15" t="s">
        <v>706</v>
      </c>
      <c r="Q277" s="15" t="s">
        <v>707</v>
      </c>
      <c r="R277" s="15" t="s">
        <v>32</v>
      </c>
      <c r="S277" s="15" t="s">
        <v>21</v>
      </c>
      <c r="T277" s="16">
        <v>15</v>
      </c>
      <c r="U277" s="17">
        <f t="shared" si="26"/>
        <v>285.45</v>
      </c>
    </row>
    <row r="278" ht="45" customHeight="1" spans="1:21">
      <c r="A278" s="14" t="s">
        <v>26</v>
      </c>
      <c r="B278" s="15" t="s">
        <v>778</v>
      </c>
      <c r="C278" s="15" t="s">
        <v>42</v>
      </c>
      <c r="D278" s="15" t="s">
        <v>779</v>
      </c>
      <c r="E278" s="15" t="s">
        <v>780</v>
      </c>
      <c r="F278" s="16">
        <f t="shared" ref="F278:F341" si="28">T278</f>
        <v>3</v>
      </c>
      <c r="G278" s="15" t="s">
        <v>48</v>
      </c>
      <c r="H278" s="17">
        <v>102.63</v>
      </c>
      <c r="I278" s="17">
        <f t="shared" ref="I278:I341" si="29">H278-H278*K278</f>
        <v>92.520945</v>
      </c>
      <c r="J278" s="24">
        <f t="shared" si="27"/>
        <v>86.7375</v>
      </c>
      <c r="K278" s="25">
        <v>0.0985</v>
      </c>
      <c r="L278" s="26">
        <v>0.25</v>
      </c>
      <c r="M278" s="24">
        <f>ROUND(I278,2)+(ROUND(I278,2)*L278)</f>
        <v>115.65</v>
      </c>
      <c r="N278" s="27">
        <f t="shared" ref="N278:N341" si="30">ROUND(U278,2)</f>
        <v>346.95</v>
      </c>
      <c r="O278" s="15"/>
      <c r="P278" s="15" t="s">
        <v>706</v>
      </c>
      <c r="Q278" s="15" t="s">
        <v>707</v>
      </c>
      <c r="R278" s="15" t="s">
        <v>32</v>
      </c>
      <c r="S278" s="15" t="s">
        <v>21</v>
      </c>
      <c r="T278" s="16">
        <v>3</v>
      </c>
      <c r="U278" s="17">
        <f t="shared" ref="U278:U341" si="31">ROUND(M278,2)*T278</f>
        <v>346.95</v>
      </c>
    </row>
    <row r="279" ht="45" customHeight="1" spans="1:21">
      <c r="A279" s="14" t="s">
        <v>26</v>
      </c>
      <c r="B279" s="15" t="s">
        <v>781</v>
      </c>
      <c r="C279" s="15" t="s">
        <v>28</v>
      </c>
      <c r="D279" s="15" t="s">
        <v>782</v>
      </c>
      <c r="E279" s="15" t="s">
        <v>783</v>
      </c>
      <c r="F279" s="16">
        <f t="shared" si="28"/>
        <v>9</v>
      </c>
      <c r="G279" s="15" t="s">
        <v>40</v>
      </c>
      <c r="H279" s="17">
        <v>20.62</v>
      </c>
      <c r="I279" s="17">
        <f t="shared" si="29"/>
        <v>18.58893</v>
      </c>
      <c r="J279" s="24">
        <f t="shared" ref="J279:J342" si="32">M279-M279*L279</f>
        <v>17.428125</v>
      </c>
      <c r="K279" s="25">
        <v>0.0985</v>
      </c>
      <c r="L279" s="26">
        <v>0.25</v>
      </c>
      <c r="M279" s="24">
        <f>ROUND(I279,2)+(ROUND(I279,2)*L279)</f>
        <v>23.2375</v>
      </c>
      <c r="N279" s="27">
        <f t="shared" si="30"/>
        <v>209.16</v>
      </c>
      <c r="O279" s="15"/>
      <c r="P279" s="15" t="s">
        <v>706</v>
      </c>
      <c r="Q279" s="15" t="s">
        <v>707</v>
      </c>
      <c r="R279" s="15" t="s">
        <v>32</v>
      </c>
      <c r="S279" s="15" t="s">
        <v>21</v>
      </c>
      <c r="T279" s="16">
        <v>9</v>
      </c>
      <c r="U279" s="17">
        <f t="shared" si="31"/>
        <v>209.16</v>
      </c>
    </row>
    <row r="280" ht="45" customHeight="1" spans="1:21">
      <c r="A280" s="14" t="s">
        <v>26</v>
      </c>
      <c r="B280" s="15" t="s">
        <v>784</v>
      </c>
      <c r="C280" s="15" t="s">
        <v>28</v>
      </c>
      <c r="D280" s="15" t="s">
        <v>785</v>
      </c>
      <c r="E280" s="15" t="s">
        <v>786</v>
      </c>
      <c r="F280" s="16">
        <f t="shared" si="28"/>
        <v>9</v>
      </c>
      <c r="G280" s="15" t="s">
        <v>40</v>
      </c>
      <c r="H280" s="17">
        <v>9.96</v>
      </c>
      <c r="I280" s="17">
        <f t="shared" si="29"/>
        <v>8.97894</v>
      </c>
      <c r="J280" s="24">
        <f t="shared" si="32"/>
        <v>8.415</v>
      </c>
      <c r="K280" s="25">
        <v>0.0985</v>
      </c>
      <c r="L280" s="26">
        <v>0.25</v>
      </c>
      <c r="M280" s="24">
        <v>11.22</v>
      </c>
      <c r="N280" s="27">
        <f t="shared" si="30"/>
        <v>100.98</v>
      </c>
      <c r="O280" s="15"/>
      <c r="P280" s="15" t="s">
        <v>706</v>
      </c>
      <c r="Q280" s="15" t="s">
        <v>707</v>
      </c>
      <c r="R280" s="15" t="s">
        <v>32</v>
      </c>
      <c r="S280" s="15" t="s">
        <v>21</v>
      </c>
      <c r="T280" s="16">
        <v>9</v>
      </c>
      <c r="U280" s="17">
        <f t="shared" si="31"/>
        <v>100.98</v>
      </c>
    </row>
    <row r="281" ht="56.25" customHeight="1" spans="1:21">
      <c r="A281" s="14" t="s">
        <v>26</v>
      </c>
      <c r="B281" s="15" t="s">
        <v>787</v>
      </c>
      <c r="C281" s="15" t="s">
        <v>28</v>
      </c>
      <c r="D281" s="15" t="s">
        <v>788</v>
      </c>
      <c r="E281" s="15" t="s">
        <v>789</v>
      </c>
      <c r="F281" s="16">
        <f t="shared" si="28"/>
        <v>25</v>
      </c>
      <c r="G281" s="15" t="s">
        <v>40</v>
      </c>
      <c r="H281" s="17">
        <v>10.07</v>
      </c>
      <c r="I281" s="17">
        <f t="shared" si="29"/>
        <v>9.074077</v>
      </c>
      <c r="J281" s="24">
        <f t="shared" si="32"/>
        <v>8.503125</v>
      </c>
      <c r="K281" s="25">
        <v>0.0989</v>
      </c>
      <c r="L281" s="26">
        <v>0.25</v>
      </c>
      <c r="M281" s="24">
        <f>ROUND(I281,2)+(ROUND(I281,2)*L281)</f>
        <v>11.3375</v>
      </c>
      <c r="N281" s="27">
        <f t="shared" si="30"/>
        <v>283.5</v>
      </c>
      <c r="O281" s="15"/>
      <c r="P281" s="15" t="s">
        <v>706</v>
      </c>
      <c r="Q281" s="15" t="s">
        <v>707</v>
      </c>
      <c r="R281" s="15" t="s">
        <v>32</v>
      </c>
      <c r="S281" s="15" t="s">
        <v>21</v>
      </c>
      <c r="T281" s="16">
        <v>25</v>
      </c>
      <c r="U281" s="17">
        <f t="shared" si="31"/>
        <v>283.5</v>
      </c>
    </row>
    <row r="282" ht="45" customHeight="1" spans="1:21">
      <c r="A282" s="14" t="s">
        <v>26</v>
      </c>
      <c r="B282" s="15" t="s">
        <v>790</v>
      </c>
      <c r="C282" s="15" t="s">
        <v>28</v>
      </c>
      <c r="D282" s="15" t="s">
        <v>791</v>
      </c>
      <c r="E282" s="15" t="s">
        <v>792</v>
      </c>
      <c r="F282" s="16">
        <f t="shared" si="28"/>
        <v>1</v>
      </c>
      <c r="G282" s="15" t="s">
        <v>40</v>
      </c>
      <c r="H282" s="17">
        <v>10823.35</v>
      </c>
      <c r="I282" s="17">
        <f t="shared" si="29"/>
        <v>9757.250025</v>
      </c>
      <c r="J282" s="24">
        <f t="shared" si="32"/>
        <v>9146.7</v>
      </c>
      <c r="K282" s="25">
        <v>0.0985</v>
      </c>
      <c r="L282" s="26">
        <v>0.25</v>
      </c>
      <c r="M282" s="24">
        <v>12195.6</v>
      </c>
      <c r="N282" s="27">
        <f t="shared" si="30"/>
        <v>12195.6</v>
      </c>
      <c r="O282" s="15"/>
      <c r="P282" s="15" t="s">
        <v>706</v>
      </c>
      <c r="Q282" s="15" t="s">
        <v>707</v>
      </c>
      <c r="R282" s="15" t="s">
        <v>32</v>
      </c>
      <c r="S282" s="15" t="s">
        <v>21</v>
      </c>
      <c r="T282" s="16">
        <v>1</v>
      </c>
      <c r="U282" s="17">
        <f t="shared" si="31"/>
        <v>12195.6</v>
      </c>
    </row>
    <row r="283" ht="45" customHeight="1" spans="1:21">
      <c r="A283" s="14" t="s">
        <v>26</v>
      </c>
      <c r="B283" s="15" t="s">
        <v>793</v>
      </c>
      <c r="C283" s="15" t="s">
        <v>28</v>
      </c>
      <c r="D283" s="15" t="s">
        <v>794</v>
      </c>
      <c r="E283" s="15" t="s">
        <v>795</v>
      </c>
      <c r="F283" s="16">
        <f t="shared" si="28"/>
        <v>1</v>
      </c>
      <c r="G283" s="15" t="s">
        <v>40</v>
      </c>
      <c r="H283" s="17">
        <v>7824.28</v>
      </c>
      <c r="I283" s="17">
        <f t="shared" si="29"/>
        <v>7053.58842</v>
      </c>
      <c r="J283" s="24">
        <f t="shared" si="32"/>
        <v>6612.6375</v>
      </c>
      <c r="K283" s="25">
        <v>0.0985</v>
      </c>
      <c r="L283" s="26">
        <v>0.25</v>
      </c>
      <c r="M283" s="24">
        <v>8816.85</v>
      </c>
      <c r="N283" s="27">
        <f t="shared" si="30"/>
        <v>8816.85</v>
      </c>
      <c r="O283" s="15"/>
      <c r="P283" s="15" t="s">
        <v>706</v>
      </c>
      <c r="Q283" s="15" t="s">
        <v>707</v>
      </c>
      <c r="R283" s="15" t="s">
        <v>32</v>
      </c>
      <c r="S283" s="15" t="s">
        <v>21</v>
      </c>
      <c r="T283" s="16">
        <v>1</v>
      </c>
      <c r="U283" s="17">
        <f t="shared" si="31"/>
        <v>8816.85</v>
      </c>
    </row>
    <row r="284" ht="45" customHeight="1" spans="1:21">
      <c r="A284" s="14" t="s">
        <v>26</v>
      </c>
      <c r="B284" s="15" t="s">
        <v>796</v>
      </c>
      <c r="C284" s="15" t="s">
        <v>28</v>
      </c>
      <c r="D284" s="15" t="s">
        <v>797</v>
      </c>
      <c r="E284" s="15" t="s">
        <v>798</v>
      </c>
      <c r="F284" s="16">
        <f t="shared" si="28"/>
        <v>1</v>
      </c>
      <c r="G284" s="15" t="s">
        <v>40</v>
      </c>
      <c r="H284" s="17">
        <v>7814.91</v>
      </c>
      <c r="I284" s="17">
        <f t="shared" si="29"/>
        <v>7044.5943213</v>
      </c>
      <c r="J284" s="24">
        <f t="shared" si="32"/>
        <v>6604.303125</v>
      </c>
      <c r="K284" s="25">
        <v>0.09857</v>
      </c>
      <c r="L284" s="26">
        <v>0.25</v>
      </c>
      <c r="M284" s="24">
        <f>ROUND(I284,2)+(ROUND(I284,2)*L284)</f>
        <v>8805.7375</v>
      </c>
      <c r="N284" s="27">
        <f t="shared" si="30"/>
        <v>8805.74</v>
      </c>
      <c r="O284" s="15"/>
      <c r="P284" s="15" t="s">
        <v>706</v>
      </c>
      <c r="Q284" s="15" t="s">
        <v>707</v>
      </c>
      <c r="R284" s="15" t="s">
        <v>32</v>
      </c>
      <c r="S284" s="15" t="s">
        <v>21</v>
      </c>
      <c r="T284" s="16">
        <v>1</v>
      </c>
      <c r="U284" s="17">
        <f t="shared" si="31"/>
        <v>8805.74</v>
      </c>
    </row>
    <row r="285" ht="45" customHeight="1" spans="1:21">
      <c r="A285" s="14" t="s">
        <v>26</v>
      </c>
      <c r="B285" s="15" t="s">
        <v>799</v>
      </c>
      <c r="C285" s="15" t="s">
        <v>28</v>
      </c>
      <c r="D285" s="15" t="s">
        <v>800</v>
      </c>
      <c r="E285" s="15" t="s">
        <v>801</v>
      </c>
      <c r="F285" s="16">
        <f t="shared" si="28"/>
        <v>4</v>
      </c>
      <c r="G285" s="15" t="s">
        <v>40</v>
      </c>
      <c r="H285" s="17">
        <v>327.7</v>
      </c>
      <c r="I285" s="17">
        <f t="shared" si="29"/>
        <v>295.42155</v>
      </c>
      <c r="J285" s="24">
        <f t="shared" si="32"/>
        <v>276.95625</v>
      </c>
      <c r="K285" s="25">
        <v>0.0985</v>
      </c>
      <c r="L285" s="26">
        <v>0.25</v>
      </c>
      <c r="M285" s="24">
        <f>ROUND(I285,2)+(ROUND(I285,2)*L285)</f>
        <v>369.275</v>
      </c>
      <c r="N285" s="27">
        <f t="shared" si="30"/>
        <v>1477.12</v>
      </c>
      <c r="O285" s="15"/>
      <c r="P285" s="15" t="s">
        <v>802</v>
      </c>
      <c r="Q285" s="15" t="s">
        <v>803</v>
      </c>
      <c r="R285" s="15" t="s">
        <v>32</v>
      </c>
      <c r="S285" s="15" t="s">
        <v>21</v>
      </c>
      <c r="T285" s="16">
        <v>4</v>
      </c>
      <c r="U285" s="17">
        <f t="shared" si="31"/>
        <v>1477.12</v>
      </c>
    </row>
    <row r="286" ht="45" customHeight="1" spans="1:21">
      <c r="A286" s="14" t="s">
        <v>26</v>
      </c>
      <c r="B286" s="15" t="s">
        <v>804</v>
      </c>
      <c r="C286" s="15" t="s">
        <v>28</v>
      </c>
      <c r="D286" s="15" t="s">
        <v>805</v>
      </c>
      <c r="E286" s="15" t="s">
        <v>806</v>
      </c>
      <c r="F286" s="16">
        <f t="shared" si="28"/>
        <v>9</v>
      </c>
      <c r="G286" s="15" t="s">
        <v>40</v>
      </c>
      <c r="H286" s="17">
        <v>586.04</v>
      </c>
      <c r="I286" s="17">
        <f t="shared" si="29"/>
        <v>528.31506</v>
      </c>
      <c r="J286" s="24">
        <f t="shared" si="32"/>
        <v>495.2925</v>
      </c>
      <c r="K286" s="25">
        <v>0.0985</v>
      </c>
      <c r="L286" s="26">
        <v>0.25</v>
      </c>
      <c r="M286" s="24">
        <v>660.39</v>
      </c>
      <c r="N286" s="27">
        <f t="shared" si="30"/>
        <v>5943.51</v>
      </c>
      <c r="O286" s="15"/>
      <c r="P286" s="15" t="s">
        <v>802</v>
      </c>
      <c r="Q286" s="15" t="s">
        <v>803</v>
      </c>
      <c r="R286" s="15" t="s">
        <v>32</v>
      </c>
      <c r="S286" s="15" t="s">
        <v>21</v>
      </c>
      <c r="T286" s="16">
        <v>9</v>
      </c>
      <c r="U286" s="17">
        <f t="shared" si="31"/>
        <v>5943.51</v>
      </c>
    </row>
    <row r="287" ht="45" customHeight="1" spans="1:21">
      <c r="A287" s="14" t="s">
        <v>26</v>
      </c>
      <c r="B287" s="15" t="s">
        <v>807</v>
      </c>
      <c r="C287" s="15" t="s">
        <v>28</v>
      </c>
      <c r="D287" s="15" t="s">
        <v>808</v>
      </c>
      <c r="E287" s="15" t="s">
        <v>809</v>
      </c>
      <c r="F287" s="16">
        <f t="shared" si="28"/>
        <v>4</v>
      </c>
      <c r="G287" s="15" t="s">
        <v>40</v>
      </c>
      <c r="H287" s="17">
        <v>43.95</v>
      </c>
      <c r="I287" s="17">
        <f t="shared" si="29"/>
        <v>39.61653</v>
      </c>
      <c r="J287" s="24">
        <f t="shared" si="32"/>
        <v>37.14</v>
      </c>
      <c r="K287" s="25">
        <v>0.0986</v>
      </c>
      <c r="L287" s="26">
        <v>0.25</v>
      </c>
      <c r="M287" s="24">
        <v>49.52</v>
      </c>
      <c r="N287" s="27">
        <f t="shared" si="30"/>
        <v>198.08</v>
      </c>
      <c r="O287" s="15"/>
      <c r="P287" s="15" t="s">
        <v>802</v>
      </c>
      <c r="Q287" s="15" t="s">
        <v>803</v>
      </c>
      <c r="R287" s="15" t="s">
        <v>32</v>
      </c>
      <c r="S287" s="15" t="s">
        <v>21</v>
      </c>
      <c r="T287" s="16">
        <v>4</v>
      </c>
      <c r="U287" s="17">
        <f t="shared" si="31"/>
        <v>198.08</v>
      </c>
    </row>
    <row r="288" ht="45" customHeight="1" spans="1:21">
      <c r="A288" s="14" t="s">
        <v>26</v>
      </c>
      <c r="B288" s="15" t="s">
        <v>810</v>
      </c>
      <c r="C288" s="15" t="s">
        <v>28</v>
      </c>
      <c r="D288" s="15" t="s">
        <v>811</v>
      </c>
      <c r="E288" s="15" t="s">
        <v>812</v>
      </c>
      <c r="F288" s="16">
        <f t="shared" si="28"/>
        <v>9</v>
      </c>
      <c r="G288" s="15" t="s">
        <v>40</v>
      </c>
      <c r="H288" s="17">
        <v>87.89</v>
      </c>
      <c r="I288" s="17">
        <f t="shared" si="29"/>
        <v>79.215257</v>
      </c>
      <c r="J288" s="24">
        <f t="shared" si="32"/>
        <v>74.26875</v>
      </c>
      <c r="K288" s="25">
        <v>0.0987</v>
      </c>
      <c r="L288" s="26">
        <v>0.25</v>
      </c>
      <c r="M288" s="24">
        <f>ROUND(I288,2)+(ROUND(I288,2)*L288)</f>
        <v>99.025</v>
      </c>
      <c r="N288" s="27">
        <f t="shared" si="30"/>
        <v>891.27</v>
      </c>
      <c r="O288" s="15"/>
      <c r="P288" s="15" t="s">
        <v>802</v>
      </c>
      <c r="Q288" s="15" t="s">
        <v>803</v>
      </c>
      <c r="R288" s="15" t="s">
        <v>32</v>
      </c>
      <c r="S288" s="15" t="s">
        <v>21</v>
      </c>
      <c r="T288" s="16">
        <v>9</v>
      </c>
      <c r="U288" s="17">
        <f t="shared" si="31"/>
        <v>891.27</v>
      </c>
    </row>
    <row r="289" ht="45" customHeight="1" spans="1:21">
      <c r="A289" s="14" t="s">
        <v>26</v>
      </c>
      <c r="B289" s="15" t="s">
        <v>813</v>
      </c>
      <c r="C289" s="15" t="s">
        <v>42</v>
      </c>
      <c r="D289" s="15" t="s">
        <v>814</v>
      </c>
      <c r="E289" s="15" t="s">
        <v>815</v>
      </c>
      <c r="F289" s="16">
        <f t="shared" si="28"/>
        <v>2</v>
      </c>
      <c r="G289" s="15" t="s">
        <v>40</v>
      </c>
      <c r="H289" s="17">
        <v>388.18</v>
      </c>
      <c r="I289" s="17">
        <f t="shared" si="29"/>
        <v>349.94427</v>
      </c>
      <c r="J289" s="24">
        <f t="shared" si="32"/>
        <v>328.06875</v>
      </c>
      <c r="K289" s="25">
        <v>0.0985</v>
      </c>
      <c r="L289" s="26">
        <v>0.25</v>
      </c>
      <c r="M289" s="24">
        <f>ROUND(I289,2)+(ROUND(I289,2)*L289)</f>
        <v>437.425</v>
      </c>
      <c r="N289" s="27">
        <f t="shared" si="30"/>
        <v>874.86</v>
      </c>
      <c r="O289" s="15"/>
      <c r="P289" s="15" t="s">
        <v>802</v>
      </c>
      <c r="Q289" s="15" t="s">
        <v>803</v>
      </c>
      <c r="R289" s="15" t="s">
        <v>32</v>
      </c>
      <c r="S289" s="15" t="s">
        <v>21</v>
      </c>
      <c r="T289" s="16">
        <v>2</v>
      </c>
      <c r="U289" s="17">
        <f t="shared" si="31"/>
        <v>874.86</v>
      </c>
    </row>
    <row r="290" ht="45" customHeight="1" spans="1:21">
      <c r="A290" s="14" t="s">
        <v>26</v>
      </c>
      <c r="B290" s="15" t="s">
        <v>816</v>
      </c>
      <c r="C290" s="15" t="s">
        <v>42</v>
      </c>
      <c r="D290" s="15" t="s">
        <v>817</v>
      </c>
      <c r="E290" s="15" t="s">
        <v>818</v>
      </c>
      <c r="F290" s="16">
        <f t="shared" si="28"/>
        <v>3</v>
      </c>
      <c r="G290" s="15" t="s">
        <v>40</v>
      </c>
      <c r="H290" s="17">
        <v>161.52</v>
      </c>
      <c r="I290" s="17">
        <f t="shared" si="29"/>
        <v>145.61028</v>
      </c>
      <c r="J290" s="24">
        <f t="shared" si="32"/>
        <v>136.509375</v>
      </c>
      <c r="K290" s="25">
        <v>0.0985</v>
      </c>
      <c r="L290" s="26">
        <v>0.25</v>
      </c>
      <c r="M290" s="24">
        <f>ROUND(I290,2)+(ROUND(I290,2)*L290)</f>
        <v>182.0125</v>
      </c>
      <c r="N290" s="27">
        <f t="shared" si="30"/>
        <v>546.03</v>
      </c>
      <c r="O290" s="15"/>
      <c r="P290" s="15" t="s">
        <v>802</v>
      </c>
      <c r="Q290" s="15" t="s">
        <v>803</v>
      </c>
      <c r="R290" s="15" t="s">
        <v>32</v>
      </c>
      <c r="S290" s="15" t="s">
        <v>21</v>
      </c>
      <c r="T290" s="16">
        <v>3</v>
      </c>
      <c r="U290" s="17">
        <f t="shared" si="31"/>
        <v>546.03</v>
      </c>
    </row>
    <row r="291" ht="45" customHeight="1" spans="1:21">
      <c r="A291" s="14" t="s">
        <v>26</v>
      </c>
      <c r="B291" s="15" t="s">
        <v>819</v>
      </c>
      <c r="C291" s="15" t="s">
        <v>28</v>
      </c>
      <c r="D291" s="15" t="s">
        <v>820</v>
      </c>
      <c r="E291" s="15" t="s">
        <v>821</v>
      </c>
      <c r="F291" s="16">
        <f t="shared" si="28"/>
        <v>13</v>
      </c>
      <c r="G291" s="15" t="s">
        <v>40</v>
      </c>
      <c r="H291" s="17">
        <v>152.51</v>
      </c>
      <c r="I291" s="17">
        <f t="shared" si="29"/>
        <v>137.487765</v>
      </c>
      <c r="J291" s="24">
        <f t="shared" si="32"/>
        <v>128.896875</v>
      </c>
      <c r="K291" s="25">
        <v>0.0985</v>
      </c>
      <c r="L291" s="26">
        <v>0.25</v>
      </c>
      <c r="M291" s="24">
        <f>ROUND(I291,2)+(ROUND(I291,2)*L291)</f>
        <v>171.8625</v>
      </c>
      <c r="N291" s="27">
        <f t="shared" si="30"/>
        <v>2234.18</v>
      </c>
      <c r="O291" s="15"/>
      <c r="P291" s="15" t="s">
        <v>802</v>
      </c>
      <c r="Q291" s="15" t="s">
        <v>803</v>
      </c>
      <c r="R291" s="15" t="s">
        <v>32</v>
      </c>
      <c r="S291" s="15" t="s">
        <v>21</v>
      </c>
      <c r="T291" s="16">
        <v>13</v>
      </c>
      <c r="U291" s="17">
        <f t="shared" si="31"/>
        <v>2234.18</v>
      </c>
    </row>
    <row r="292" ht="45" customHeight="1" spans="1:21">
      <c r="A292" s="14" t="s">
        <v>26</v>
      </c>
      <c r="B292" s="15" t="s">
        <v>822</v>
      </c>
      <c r="C292" s="15" t="s">
        <v>28</v>
      </c>
      <c r="D292" s="15" t="s">
        <v>823</v>
      </c>
      <c r="E292" s="15" t="s">
        <v>824</v>
      </c>
      <c r="F292" s="16">
        <f t="shared" si="28"/>
        <v>3</v>
      </c>
      <c r="G292" s="15" t="s">
        <v>40</v>
      </c>
      <c r="H292" s="17">
        <v>350.07</v>
      </c>
      <c r="I292" s="17">
        <f t="shared" si="29"/>
        <v>315.588105</v>
      </c>
      <c r="J292" s="24">
        <f t="shared" si="32"/>
        <v>295.4625</v>
      </c>
      <c r="K292" s="25">
        <v>0.0985</v>
      </c>
      <c r="L292" s="26">
        <v>0.25</v>
      </c>
      <c r="M292" s="24">
        <v>393.95</v>
      </c>
      <c r="N292" s="27">
        <f t="shared" si="30"/>
        <v>1181.85</v>
      </c>
      <c r="O292" s="15"/>
      <c r="P292" s="15" t="s">
        <v>802</v>
      </c>
      <c r="Q292" s="15" t="s">
        <v>803</v>
      </c>
      <c r="R292" s="15" t="s">
        <v>32</v>
      </c>
      <c r="S292" s="15" t="s">
        <v>21</v>
      </c>
      <c r="T292" s="16">
        <v>3</v>
      </c>
      <c r="U292" s="17">
        <f t="shared" si="31"/>
        <v>1181.85</v>
      </c>
    </row>
    <row r="293" ht="45" customHeight="1" spans="1:21">
      <c r="A293" s="14" t="s">
        <v>26</v>
      </c>
      <c r="B293" s="15" t="s">
        <v>825</v>
      </c>
      <c r="C293" s="15" t="s">
        <v>28</v>
      </c>
      <c r="D293" s="15" t="s">
        <v>826</v>
      </c>
      <c r="E293" s="15" t="s">
        <v>827</v>
      </c>
      <c r="F293" s="16">
        <f t="shared" si="28"/>
        <v>5</v>
      </c>
      <c r="G293" s="15" t="s">
        <v>40</v>
      </c>
      <c r="H293" s="17">
        <v>776.68</v>
      </c>
      <c r="I293" s="17">
        <f t="shared" si="29"/>
        <v>700.17702</v>
      </c>
      <c r="J293" s="24">
        <f t="shared" si="32"/>
        <v>656.415</v>
      </c>
      <c r="K293" s="25">
        <v>0.0985</v>
      </c>
      <c r="L293" s="26">
        <v>0.25</v>
      </c>
      <c r="M293" s="24">
        <v>875.22</v>
      </c>
      <c r="N293" s="27">
        <f t="shared" si="30"/>
        <v>4376.1</v>
      </c>
      <c r="O293" s="15"/>
      <c r="P293" s="15" t="s">
        <v>802</v>
      </c>
      <c r="Q293" s="15" t="s">
        <v>803</v>
      </c>
      <c r="R293" s="15" t="s">
        <v>32</v>
      </c>
      <c r="S293" s="15" t="s">
        <v>21</v>
      </c>
      <c r="T293" s="16">
        <v>5</v>
      </c>
      <c r="U293" s="17">
        <f t="shared" si="31"/>
        <v>4376.1</v>
      </c>
    </row>
    <row r="294" ht="45" customHeight="1" spans="1:21">
      <c r="A294" s="14" t="s">
        <v>26</v>
      </c>
      <c r="B294" s="15" t="s">
        <v>828</v>
      </c>
      <c r="C294" s="15" t="s">
        <v>28</v>
      </c>
      <c r="D294" s="15" t="s">
        <v>829</v>
      </c>
      <c r="E294" s="15" t="s">
        <v>830</v>
      </c>
      <c r="F294" s="16">
        <f t="shared" si="28"/>
        <v>5</v>
      </c>
      <c r="G294" s="15" t="s">
        <v>40</v>
      </c>
      <c r="H294" s="17">
        <v>202.5</v>
      </c>
      <c r="I294" s="17">
        <f t="shared" si="29"/>
        <v>182.53497825</v>
      </c>
      <c r="J294" s="24">
        <f t="shared" si="32"/>
        <v>171.1275</v>
      </c>
      <c r="K294" s="25">
        <v>0.0985927</v>
      </c>
      <c r="L294" s="26">
        <v>0.25</v>
      </c>
      <c r="M294" s="24">
        <v>228.17</v>
      </c>
      <c r="N294" s="27">
        <f t="shared" si="30"/>
        <v>1140.85</v>
      </c>
      <c r="O294" s="15"/>
      <c r="P294" s="15" t="s">
        <v>802</v>
      </c>
      <c r="Q294" s="15" t="s">
        <v>803</v>
      </c>
      <c r="R294" s="15" t="s">
        <v>32</v>
      </c>
      <c r="S294" s="15" t="s">
        <v>21</v>
      </c>
      <c r="T294" s="16">
        <v>5</v>
      </c>
      <c r="U294" s="17">
        <f t="shared" si="31"/>
        <v>1140.85</v>
      </c>
    </row>
    <row r="295" ht="45" customHeight="1" spans="1:21">
      <c r="A295" s="14" t="s">
        <v>26</v>
      </c>
      <c r="B295" s="15" t="s">
        <v>831</v>
      </c>
      <c r="C295" s="15" t="s">
        <v>42</v>
      </c>
      <c r="D295" s="15" t="s">
        <v>832</v>
      </c>
      <c r="E295" s="15" t="s">
        <v>833</v>
      </c>
      <c r="F295" s="16">
        <f t="shared" si="28"/>
        <v>6</v>
      </c>
      <c r="G295" s="15" t="s">
        <v>40</v>
      </c>
      <c r="H295" s="17">
        <v>202.49</v>
      </c>
      <c r="I295" s="17">
        <f t="shared" si="29"/>
        <v>182.52590343</v>
      </c>
      <c r="J295" s="24">
        <f t="shared" si="32"/>
        <v>171.1275</v>
      </c>
      <c r="K295" s="25">
        <v>0.098593</v>
      </c>
      <c r="L295" s="26">
        <v>0.25</v>
      </c>
      <c r="M295" s="24">
        <v>228.17</v>
      </c>
      <c r="N295" s="27">
        <f t="shared" si="30"/>
        <v>1369.02</v>
      </c>
      <c r="O295" s="15"/>
      <c r="P295" s="15" t="s">
        <v>802</v>
      </c>
      <c r="Q295" s="15" t="s">
        <v>803</v>
      </c>
      <c r="R295" s="15" t="s">
        <v>32</v>
      </c>
      <c r="S295" s="15" t="s">
        <v>21</v>
      </c>
      <c r="T295" s="16">
        <v>6</v>
      </c>
      <c r="U295" s="17">
        <f t="shared" si="31"/>
        <v>1369.02</v>
      </c>
    </row>
    <row r="296" ht="45" customHeight="1" spans="1:21">
      <c r="A296" s="14" t="s">
        <v>26</v>
      </c>
      <c r="B296" s="15" t="s">
        <v>834</v>
      </c>
      <c r="C296" s="15" t="s">
        <v>28</v>
      </c>
      <c r="D296" s="15" t="s">
        <v>835</v>
      </c>
      <c r="E296" s="15" t="s">
        <v>836</v>
      </c>
      <c r="F296" s="16">
        <f t="shared" si="28"/>
        <v>1</v>
      </c>
      <c r="G296" s="15" t="s">
        <v>40</v>
      </c>
      <c r="H296" s="17">
        <v>221.71</v>
      </c>
      <c r="I296" s="17">
        <f t="shared" si="29"/>
        <v>199.871565</v>
      </c>
      <c r="J296" s="24">
        <f t="shared" si="32"/>
        <v>187.378125</v>
      </c>
      <c r="K296" s="25">
        <v>0.0985</v>
      </c>
      <c r="L296" s="26">
        <v>0.25</v>
      </c>
      <c r="M296" s="24">
        <f>ROUND(I296,2)+(ROUND(I296,2)*L296)</f>
        <v>249.8375</v>
      </c>
      <c r="N296" s="27">
        <f t="shared" si="30"/>
        <v>249.84</v>
      </c>
      <c r="O296" s="15"/>
      <c r="P296" s="15" t="s">
        <v>802</v>
      </c>
      <c r="Q296" s="15" t="s">
        <v>803</v>
      </c>
      <c r="R296" s="15" t="s">
        <v>32</v>
      </c>
      <c r="S296" s="15" t="s">
        <v>21</v>
      </c>
      <c r="T296" s="16">
        <v>1</v>
      </c>
      <c r="U296" s="17">
        <f t="shared" si="31"/>
        <v>249.84</v>
      </c>
    </row>
    <row r="297" ht="45" customHeight="1" spans="1:21">
      <c r="A297" s="14" t="s">
        <v>26</v>
      </c>
      <c r="B297" s="15" t="s">
        <v>837</v>
      </c>
      <c r="C297" s="15" t="s">
        <v>28</v>
      </c>
      <c r="D297" s="15" t="s">
        <v>838</v>
      </c>
      <c r="E297" s="15" t="s">
        <v>839</v>
      </c>
      <c r="F297" s="16">
        <f t="shared" si="28"/>
        <v>24</v>
      </c>
      <c r="G297" s="15" t="s">
        <v>40</v>
      </c>
      <c r="H297" s="17">
        <v>82.54</v>
      </c>
      <c r="I297" s="17">
        <f t="shared" si="29"/>
        <v>74.40981</v>
      </c>
      <c r="J297" s="24">
        <f t="shared" si="32"/>
        <v>69.759375</v>
      </c>
      <c r="K297" s="25">
        <v>0.0985</v>
      </c>
      <c r="L297" s="26">
        <v>0.25</v>
      </c>
      <c r="M297" s="24">
        <f>ROUND(I297,2)+(ROUND(I297,2)*L297)</f>
        <v>93.0125</v>
      </c>
      <c r="N297" s="27">
        <f t="shared" si="30"/>
        <v>2232.24</v>
      </c>
      <c r="O297" s="15"/>
      <c r="P297" s="15" t="s">
        <v>802</v>
      </c>
      <c r="Q297" s="15" t="s">
        <v>803</v>
      </c>
      <c r="R297" s="15" t="s">
        <v>32</v>
      </c>
      <c r="S297" s="15" t="s">
        <v>21</v>
      </c>
      <c r="T297" s="16">
        <v>24</v>
      </c>
      <c r="U297" s="17">
        <f t="shared" si="31"/>
        <v>2232.24</v>
      </c>
    </row>
    <row r="298" ht="45" customHeight="1" spans="1:21">
      <c r="A298" s="14" t="s">
        <v>26</v>
      </c>
      <c r="B298" s="15" t="s">
        <v>840</v>
      </c>
      <c r="C298" s="15" t="s">
        <v>28</v>
      </c>
      <c r="D298" s="15" t="s">
        <v>841</v>
      </c>
      <c r="E298" s="15" t="s">
        <v>842</v>
      </c>
      <c r="F298" s="16">
        <f t="shared" si="28"/>
        <v>38</v>
      </c>
      <c r="G298" s="15" t="s">
        <v>40</v>
      </c>
      <c r="H298" s="17">
        <v>12.57</v>
      </c>
      <c r="I298" s="17">
        <f t="shared" si="29"/>
        <v>11.331855</v>
      </c>
      <c r="J298" s="24">
        <f t="shared" si="32"/>
        <v>10.621875</v>
      </c>
      <c r="K298" s="25">
        <v>0.0985</v>
      </c>
      <c r="L298" s="26">
        <v>0.25</v>
      </c>
      <c r="M298" s="24">
        <f>ROUND(I298,2)+(ROUND(I298,2)*L298)</f>
        <v>14.1625</v>
      </c>
      <c r="N298" s="27">
        <f t="shared" si="30"/>
        <v>538.08</v>
      </c>
      <c r="O298" s="15"/>
      <c r="P298" s="15" t="s">
        <v>802</v>
      </c>
      <c r="Q298" s="15" t="s">
        <v>803</v>
      </c>
      <c r="R298" s="15" t="s">
        <v>32</v>
      </c>
      <c r="S298" s="15" t="s">
        <v>21</v>
      </c>
      <c r="T298" s="16">
        <v>38</v>
      </c>
      <c r="U298" s="17">
        <f t="shared" si="31"/>
        <v>538.08</v>
      </c>
    </row>
    <row r="299" ht="45" customHeight="1" spans="1:21">
      <c r="A299" s="14" t="s">
        <v>26</v>
      </c>
      <c r="B299" s="15" t="s">
        <v>843</v>
      </c>
      <c r="C299" s="15" t="s">
        <v>28</v>
      </c>
      <c r="D299" s="15" t="s">
        <v>844</v>
      </c>
      <c r="E299" s="15" t="s">
        <v>845</v>
      </c>
      <c r="F299" s="16">
        <f t="shared" si="28"/>
        <v>9</v>
      </c>
      <c r="G299" s="15" t="s">
        <v>40</v>
      </c>
      <c r="H299" s="17">
        <v>138.39</v>
      </c>
      <c r="I299" s="17">
        <f t="shared" si="29"/>
        <v>124.758585</v>
      </c>
      <c r="J299" s="24">
        <f t="shared" si="32"/>
        <v>116.9625</v>
      </c>
      <c r="K299" s="25">
        <v>0.0985</v>
      </c>
      <c r="L299" s="26">
        <v>0.25</v>
      </c>
      <c r="M299" s="24">
        <f>ROUND(I299,2)+(ROUND(I299,2)*L299)</f>
        <v>155.95</v>
      </c>
      <c r="N299" s="27">
        <f t="shared" si="30"/>
        <v>1403.55</v>
      </c>
      <c r="O299" s="15"/>
      <c r="P299" s="15" t="s">
        <v>802</v>
      </c>
      <c r="Q299" s="15" t="s">
        <v>803</v>
      </c>
      <c r="R299" s="15" t="s">
        <v>32</v>
      </c>
      <c r="S299" s="15" t="s">
        <v>21</v>
      </c>
      <c r="T299" s="16">
        <v>9</v>
      </c>
      <c r="U299" s="17">
        <f t="shared" si="31"/>
        <v>1403.55</v>
      </c>
    </row>
    <row r="300" ht="45" customHeight="1" spans="1:21">
      <c r="A300" s="14" t="s">
        <v>26</v>
      </c>
      <c r="B300" s="15" t="s">
        <v>846</v>
      </c>
      <c r="C300" s="15" t="s">
        <v>42</v>
      </c>
      <c r="D300" s="15" t="s">
        <v>847</v>
      </c>
      <c r="E300" s="15" t="s">
        <v>848</v>
      </c>
      <c r="F300" s="16">
        <f t="shared" si="28"/>
        <v>16</v>
      </c>
      <c r="G300" s="15" t="s">
        <v>40</v>
      </c>
      <c r="H300" s="17">
        <v>152.73</v>
      </c>
      <c r="I300" s="17">
        <f t="shared" si="29"/>
        <v>137.686095</v>
      </c>
      <c r="J300" s="24">
        <f t="shared" si="32"/>
        <v>129.075</v>
      </c>
      <c r="K300" s="25">
        <v>0.0985</v>
      </c>
      <c r="L300" s="26">
        <v>0.25</v>
      </c>
      <c r="M300" s="24">
        <v>172.1</v>
      </c>
      <c r="N300" s="27">
        <f t="shared" si="30"/>
        <v>2753.6</v>
      </c>
      <c r="O300" s="15"/>
      <c r="P300" s="15" t="s">
        <v>802</v>
      </c>
      <c r="Q300" s="15" t="s">
        <v>803</v>
      </c>
      <c r="R300" s="15" t="s">
        <v>32</v>
      </c>
      <c r="S300" s="15" t="s">
        <v>21</v>
      </c>
      <c r="T300" s="16">
        <v>16</v>
      </c>
      <c r="U300" s="17">
        <f t="shared" si="31"/>
        <v>2753.6</v>
      </c>
    </row>
    <row r="301" ht="45" customHeight="1" spans="1:21">
      <c r="A301" s="14" t="s">
        <v>26</v>
      </c>
      <c r="B301" s="15" t="s">
        <v>849</v>
      </c>
      <c r="C301" s="15" t="s">
        <v>42</v>
      </c>
      <c r="D301" s="15" t="s">
        <v>850</v>
      </c>
      <c r="E301" s="15" t="s">
        <v>851</v>
      </c>
      <c r="F301" s="16">
        <f t="shared" si="28"/>
        <v>2</v>
      </c>
      <c r="G301" s="15" t="s">
        <v>40</v>
      </c>
      <c r="H301" s="17">
        <v>194.88</v>
      </c>
      <c r="I301" s="17">
        <f t="shared" si="29"/>
        <v>175.68432</v>
      </c>
      <c r="J301" s="24">
        <f t="shared" si="32"/>
        <v>164.7</v>
      </c>
      <c r="K301" s="25">
        <v>0.0985</v>
      </c>
      <c r="L301" s="26">
        <v>0.25</v>
      </c>
      <c r="M301" s="24">
        <f>ROUND(I301,2)+(ROUND(I301,2)*L301)</f>
        <v>219.6</v>
      </c>
      <c r="N301" s="27">
        <f t="shared" si="30"/>
        <v>439.2</v>
      </c>
      <c r="O301" s="15"/>
      <c r="P301" s="15" t="s">
        <v>802</v>
      </c>
      <c r="Q301" s="15" t="s">
        <v>803</v>
      </c>
      <c r="R301" s="15" t="s">
        <v>32</v>
      </c>
      <c r="S301" s="15" t="s">
        <v>21</v>
      </c>
      <c r="T301" s="16">
        <v>2</v>
      </c>
      <c r="U301" s="17">
        <f t="shared" si="31"/>
        <v>439.2</v>
      </c>
    </row>
    <row r="302" ht="45" customHeight="1" spans="1:21">
      <c r="A302" s="14" t="s">
        <v>26</v>
      </c>
      <c r="B302" s="15" t="s">
        <v>852</v>
      </c>
      <c r="C302" s="15" t="s">
        <v>28</v>
      </c>
      <c r="D302" s="15" t="s">
        <v>853</v>
      </c>
      <c r="E302" s="15" t="s">
        <v>854</v>
      </c>
      <c r="F302" s="16">
        <f t="shared" si="28"/>
        <v>7</v>
      </c>
      <c r="G302" s="15" t="s">
        <v>40</v>
      </c>
      <c r="H302" s="17">
        <v>58.24</v>
      </c>
      <c r="I302" s="17">
        <f t="shared" si="29"/>
        <v>52.50336</v>
      </c>
      <c r="J302" s="24">
        <f t="shared" si="32"/>
        <v>49.215</v>
      </c>
      <c r="K302" s="25">
        <v>0.0985</v>
      </c>
      <c r="L302" s="26">
        <v>0.25</v>
      </c>
      <c r="M302" s="24">
        <v>65.62</v>
      </c>
      <c r="N302" s="27">
        <f t="shared" si="30"/>
        <v>459.34</v>
      </c>
      <c r="O302" s="15"/>
      <c r="P302" s="15" t="s">
        <v>802</v>
      </c>
      <c r="Q302" s="15" t="s">
        <v>803</v>
      </c>
      <c r="R302" s="15" t="s">
        <v>32</v>
      </c>
      <c r="S302" s="15" t="s">
        <v>21</v>
      </c>
      <c r="T302" s="16">
        <v>7</v>
      </c>
      <c r="U302" s="17">
        <f t="shared" si="31"/>
        <v>459.34</v>
      </c>
    </row>
    <row r="303" ht="45" customHeight="1" spans="1:21">
      <c r="A303" s="14" t="s">
        <v>26</v>
      </c>
      <c r="B303" s="15" t="s">
        <v>855</v>
      </c>
      <c r="C303" s="15" t="s">
        <v>42</v>
      </c>
      <c r="D303" s="15" t="s">
        <v>856</v>
      </c>
      <c r="E303" s="15" t="s">
        <v>857</v>
      </c>
      <c r="F303" s="16">
        <f t="shared" si="28"/>
        <v>3</v>
      </c>
      <c r="G303" s="15" t="s">
        <v>40</v>
      </c>
      <c r="H303" s="17">
        <v>366.08</v>
      </c>
      <c r="I303" s="17">
        <f t="shared" si="29"/>
        <v>330.02112</v>
      </c>
      <c r="J303" s="24">
        <f t="shared" si="32"/>
        <v>309.39</v>
      </c>
      <c r="K303" s="25">
        <v>0.0985</v>
      </c>
      <c r="L303" s="26">
        <v>0.25</v>
      </c>
      <c r="M303" s="24">
        <v>412.52</v>
      </c>
      <c r="N303" s="27">
        <f t="shared" si="30"/>
        <v>1237.56</v>
      </c>
      <c r="O303" s="15"/>
      <c r="P303" s="15" t="s">
        <v>802</v>
      </c>
      <c r="Q303" s="15" t="s">
        <v>803</v>
      </c>
      <c r="R303" s="15" t="s">
        <v>32</v>
      </c>
      <c r="S303" s="15" t="s">
        <v>21</v>
      </c>
      <c r="T303" s="16">
        <v>3</v>
      </c>
      <c r="U303" s="17">
        <f t="shared" si="31"/>
        <v>1237.56</v>
      </c>
    </row>
    <row r="304" ht="45" customHeight="1" spans="1:21">
      <c r="A304" s="14" t="s">
        <v>26</v>
      </c>
      <c r="B304" s="15" t="s">
        <v>858</v>
      </c>
      <c r="C304" s="15" t="s">
        <v>42</v>
      </c>
      <c r="D304" s="15" t="s">
        <v>859</v>
      </c>
      <c r="E304" s="15" t="s">
        <v>860</v>
      </c>
      <c r="F304" s="16">
        <f t="shared" si="28"/>
        <v>2</v>
      </c>
      <c r="G304" s="15" t="s">
        <v>40</v>
      </c>
      <c r="H304" s="17">
        <v>116.16</v>
      </c>
      <c r="I304" s="17">
        <f t="shared" si="29"/>
        <v>104.71824</v>
      </c>
      <c r="J304" s="24">
        <f t="shared" si="32"/>
        <v>98.1675</v>
      </c>
      <c r="K304" s="25">
        <v>0.0985</v>
      </c>
      <c r="L304" s="26">
        <v>0.25</v>
      </c>
      <c r="M304" s="24">
        <v>130.89</v>
      </c>
      <c r="N304" s="27">
        <f t="shared" si="30"/>
        <v>261.78</v>
      </c>
      <c r="O304" s="15"/>
      <c r="P304" s="15" t="s">
        <v>802</v>
      </c>
      <c r="Q304" s="15" t="s">
        <v>803</v>
      </c>
      <c r="R304" s="15" t="s">
        <v>32</v>
      </c>
      <c r="S304" s="15" t="s">
        <v>21</v>
      </c>
      <c r="T304" s="16">
        <v>2</v>
      </c>
      <c r="U304" s="17">
        <f t="shared" si="31"/>
        <v>261.78</v>
      </c>
    </row>
    <row r="305" ht="45" customHeight="1" spans="1:21">
      <c r="A305" s="14" t="s">
        <v>26</v>
      </c>
      <c r="B305" s="15" t="s">
        <v>861</v>
      </c>
      <c r="C305" s="15" t="s">
        <v>28</v>
      </c>
      <c r="D305" s="15" t="s">
        <v>862</v>
      </c>
      <c r="E305" s="15" t="s">
        <v>863</v>
      </c>
      <c r="F305" s="16">
        <f t="shared" si="28"/>
        <v>25</v>
      </c>
      <c r="G305" s="15" t="s">
        <v>40</v>
      </c>
      <c r="H305" s="17">
        <v>66.24</v>
      </c>
      <c r="I305" s="17">
        <f t="shared" si="29"/>
        <v>59.708736</v>
      </c>
      <c r="J305" s="24">
        <f t="shared" si="32"/>
        <v>55.978125</v>
      </c>
      <c r="K305" s="25">
        <v>0.0986</v>
      </c>
      <c r="L305" s="26">
        <v>0.25</v>
      </c>
      <c r="M305" s="24">
        <f>ROUND(I305,2)+(ROUND(I305,2)*L305)</f>
        <v>74.6375</v>
      </c>
      <c r="N305" s="27">
        <f t="shared" si="30"/>
        <v>1866</v>
      </c>
      <c r="O305" s="15"/>
      <c r="P305" s="15" t="s">
        <v>802</v>
      </c>
      <c r="Q305" s="15" t="s">
        <v>803</v>
      </c>
      <c r="R305" s="15" t="s">
        <v>32</v>
      </c>
      <c r="S305" s="15" t="s">
        <v>21</v>
      </c>
      <c r="T305" s="16">
        <v>25</v>
      </c>
      <c r="U305" s="17">
        <f t="shared" si="31"/>
        <v>1866</v>
      </c>
    </row>
    <row r="306" ht="45" customHeight="1" spans="1:21">
      <c r="A306" s="14" t="s">
        <v>26</v>
      </c>
      <c r="B306" s="15" t="s">
        <v>864</v>
      </c>
      <c r="C306" s="15" t="s">
        <v>28</v>
      </c>
      <c r="D306" s="15" t="s">
        <v>865</v>
      </c>
      <c r="E306" s="15" t="s">
        <v>866</v>
      </c>
      <c r="F306" s="16">
        <f t="shared" si="28"/>
        <v>8</v>
      </c>
      <c r="G306" s="15" t="s">
        <v>40</v>
      </c>
      <c r="H306" s="17">
        <v>94.53</v>
      </c>
      <c r="I306" s="17">
        <f t="shared" si="29"/>
        <v>85.2102873</v>
      </c>
      <c r="J306" s="24">
        <f t="shared" si="32"/>
        <v>79.89</v>
      </c>
      <c r="K306" s="25">
        <v>0.09859</v>
      </c>
      <c r="L306" s="26">
        <v>0.25</v>
      </c>
      <c r="M306" s="24">
        <v>106.52</v>
      </c>
      <c r="N306" s="27">
        <f t="shared" si="30"/>
        <v>852.16</v>
      </c>
      <c r="O306" s="15"/>
      <c r="P306" s="15" t="s">
        <v>802</v>
      </c>
      <c r="Q306" s="15" t="s">
        <v>803</v>
      </c>
      <c r="R306" s="15" t="s">
        <v>32</v>
      </c>
      <c r="S306" s="15" t="s">
        <v>21</v>
      </c>
      <c r="T306" s="16">
        <v>8</v>
      </c>
      <c r="U306" s="17">
        <f t="shared" si="31"/>
        <v>852.16</v>
      </c>
    </row>
    <row r="307" ht="45" customHeight="1" spans="1:21">
      <c r="A307" s="14" t="s">
        <v>26</v>
      </c>
      <c r="B307" s="15" t="s">
        <v>867</v>
      </c>
      <c r="C307" s="15" t="s">
        <v>42</v>
      </c>
      <c r="D307" s="15" t="s">
        <v>868</v>
      </c>
      <c r="E307" s="15" t="s">
        <v>869</v>
      </c>
      <c r="F307" s="16">
        <f t="shared" si="28"/>
        <v>9</v>
      </c>
      <c r="G307" s="15" t="s">
        <v>40</v>
      </c>
      <c r="H307" s="17">
        <v>353.02</v>
      </c>
      <c r="I307" s="17">
        <f t="shared" si="29"/>
        <v>318.24753</v>
      </c>
      <c r="J307" s="24">
        <f t="shared" si="32"/>
        <v>298.359375</v>
      </c>
      <c r="K307" s="25">
        <v>0.0985</v>
      </c>
      <c r="L307" s="26">
        <v>0.25</v>
      </c>
      <c r="M307" s="24">
        <f>ROUND(I307,2)+(ROUND(I307,2)*L307)</f>
        <v>397.8125</v>
      </c>
      <c r="N307" s="27">
        <f t="shared" si="30"/>
        <v>3580.29</v>
      </c>
      <c r="O307" s="15"/>
      <c r="P307" s="15" t="s">
        <v>802</v>
      </c>
      <c r="Q307" s="15" t="s">
        <v>803</v>
      </c>
      <c r="R307" s="15" t="s">
        <v>32</v>
      </c>
      <c r="S307" s="15" t="s">
        <v>21</v>
      </c>
      <c r="T307" s="16">
        <v>9</v>
      </c>
      <c r="U307" s="17">
        <f t="shared" si="31"/>
        <v>3580.29</v>
      </c>
    </row>
    <row r="308" ht="45" customHeight="1" spans="1:21">
      <c r="A308" s="14" t="s">
        <v>26</v>
      </c>
      <c r="B308" s="15" t="s">
        <v>870</v>
      </c>
      <c r="C308" s="15" t="s">
        <v>28</v>
      </c>
      <c r="D308" s="15" t="s">
        <v>871</v>
      </c>
      <c r="E308" s="15" t="s">
        <v>872</v>
      </c>
      <c r="F308" s="16">
        <f t="shared" si="28"/>
        <v>7</v>
      </c>
      <c r="G308" s="15" t="s">
        <v>40</v>
      </c>
      <c r="H308" s="17">
        <v>387.24</v>
      </c>
      <c r="I308" s="17">
        <f t="shared" si="29"/>
        <v>350.529648</v>
      </c>
      <c r="J308" s="24">
        <f t="shared" si="32"/>
        <v>328.6275</v>
      </c>
      <c r="K308" s="25">
        <v>0.0948</v>
      </c>
      <c r="L308" s="26">
        <v>0.25</v>
      </c>
      <c r="M308" s="24">
        <v>438.17</v>
      </c>
      <c r="N308" s="27">
        <f t="shared" si="30"/>
        <v>3067.19</v>
      </c>
      <c r="O308" s="15"/>
      <c r="P308" s="15" t="s">
        <v>802</v>
      </c>
      <c r="Q308" s="15" t="s">
        <v>803</v>
      </c>
      <c r="R308" s="15" t="s">
        <v>32</v>
      </c>
      <c r="S308" s="15" t="s">
        <v>21</v>
      </c>
      <c r="T308" s="16">
        <v>7</v>
      </c>
      <c r="U308" s="17">
        <f t="shared" si="31"/>
        <v>3067.19</v>
      </c>
    </row>
    <row r="309" ht="45" customHeight="1" spans="1:21">
      <c r="A309" s="14" t="s">
        <v>26</v>
      </c>
      <c r="B309" s="15" t="s">
        <v>873</v>
      </c>
      <c r="C309" s="15" t="s">
        <v>28</v>
      </c>
      <c r="D309" s="15" t="s">
        <v>874</v>
      </c>
      <c r="E309" s="15" t="s">
        <v>875</v>
      </c>
      <c r="F309" s="16">
        <f t="shared" si="28"/>
        <v>1</v>
      </c>
      <c r="G309" s="15" t="s">
        <v>40</v>
      </c>
      <c r="H309" s="17">
        <v>1175.69</v>
      </c>
      <c r="I309" s="17">
        <f t="shared" si="29"/>
        <v>1059.884535</v>
      </c>
      <c r="J309" s="24">
        <f t="shared" si="32"/>
        <v>993.6375</v>
      </c>
      <c r="K309" s="25">
        <v>0.0985</v>
      </c>
      <c r="L309" s="26">
        <v>0.25</v>
      </c>
      <c r="M309" s="24">
        <f>ROUND(I309,2)+(ROUND(I309,2)*L309)</f>
        <v>1324.85</v>
      </c>
      <c r="N309" s="27">
        <f t="shared" si="30"/>
        <v>1324.85</v>
      </c>
      <c r="O309" s="15"/>
      <c r="P309" s="15" t="s">
        <v>802</v>
      </c>
      <c r="Q309" s="15" t="s">
        <v>803</v>
      </c>
      <c r="R309" s="15" t="s">
        <v>32</v>
      </c>
      <c r="S309" s="15" t="s">
        <v>21</v>
      </c>
      <c r="T309" s="16">
        <v>1</v>
      </c>
      <c r="U309" s="17">
        <f t="shared" si="31"/>
        <v>1324.85</v>
      </c>
    </row>
    <row r="310" ht="45" customHeight="1" spans="1:21">
      <c r="A310" s="14" t="s">
        <v>26</v>
      </c>
      <c r="B310" s="15" t="s">
        <v>876</v>
      </c>
      <c r="C310" s="15" t="s">
        <v>42</v>
      </c>
      <c r="D310" s="15" t="s">
        <v>877</v>
      </c>
      <c r="E310" s="15" t="s">
        <v>878</v>
      </c>
      <c r="F310" s="16">
        <f t="shared" si="28"/>
        <v>13</v>
      </c>
      <c r="G310" s="15" t="s">
        <v>40</v>
      </c>
      <c r="H310" s="17">
        <v>346.45</v>
      </c>
      <c r="I310" s="17">
        <f t="shared" si="29"/>
        <v>312.324675</v>
      </c>
      <c r="J310" s="24">
        <f t="shared" si="32"/>
        <v>292.8</v>
      </c>
      <c r="K310" s="25">
        <v>0.0985</v>
      </c>
      <c r="L310" s="26">
        <v>0.25</v>
      </c>
      <c r="M310" s="24">
        <f>ROUND(I310,2)+(ROUND(I310,2)*L310)</f>
        <v>390.4</v>
      </c>
      <c r="N310" s="27">
        <f t="shared" si="30"/>
        <v>5075.2</v>
      </c>
      <c r="O310" s="15"/>
      <c r="P310" s="15" t="s">
        <v>802</v>
      </c>
      <c r="Q310" s="15" t="s">
        <v>803</v>
      </c>
      <c r="R310" s="15" t="s">
        <v>32</v>
      </c>
      <c r="S310" s="15" t="s">
        <v>21</v>
      </c>
      <c r="T310" s="16">
        <v>13</v>
      </c>
      <c r="U310" s="17">
        <f t="shared" si="31"/>
        <v>5075.2</v>
      </c>
    </row>
    <row r="311" ht="45" customHeight="1" spans="1:21">
      <c r="A311" s="14" t="s">
        <v>26</v>
      </c>
      <c r="B311" s="15" t="s">
        <v>879</v>
      </c>
      <c r="C311" s="15" t="s">
        <v>42</v>
      </c>
      <c r="D311" s="15" t="s">
        <v>880</v>
      </c>
      <c r="E311" s="15" t="s">
        <v>881</v>
      </c>
      <c r="F311" s="16">
        <f t="shared" si="28"/>
        <v>17</v>
      </c>
      <c r="G311" s="15" t="s">
        <v>40</v>
      </c>
      <c r="H311" s="17">
        <v>64.94</v>
      </c>
      <c r="I311" s="17">
        <f t="shared" si="29"/>
        <v>58.54341</v>
      </c>
      <c r="J311" s="24">
        <f t="shared" si="32"/>
        <v>54.88125</v>
      </c>
      <c r="K311" s="25">
        <v>0.0985</v>
      </c>
      <c r="L311" s="26">
        <v>0.25</v>
      </c>
      <c r="M311" s="24">
        <f>ROUND(I311,2)+(ROUND(I311,2)*L311)</f>
        <v>73.175</v>
      </c>
      <c r="N311" s="27">
        <f t="shared" si="30"/>
        <v>1244.06</v>
      </c>
      <c r="O311" s="15"/>
      <c r="P311" s="15" t="s">
        <v>802</v>
      </c>
      <c r="Q311" s="15" t="s">
        <v>803</v>
      </c>
      <c r="R311" s="15" t="s">
        <v>32</v>
      </c>
      <c r="S311" s="15" t="s">
        <v>21</v>
      </c>
      <c r="T311" s="16">
        <v>17</v>
      </c>
      <c r="U311" s="17">
        <f t="shared" si="31"/>
        <v>1244.06</v>
      </c>
    </row>
    <row r="312" ht="45" customHeight="1" spans="1:21">
      <c r="A312" s="14" t="s">
        <v>26</v>
      </c>
      <c r="B312" s="15" t="s">
        <v>882</v>
      </c>
      <c r="C312" s="15" t="s">
        <v>42</v>
      </c>
      <c r="D312" s="15" t="s">
        <v>883</v>
      </c>
      <c r="E312" s="15" t="s">
        <v>884</v>
      </c>
      <c r="F312" s="16">
        <f t="shared" si="28"/>
        <v>9</v>
      </c>
      <c r="G312" s="15" t="s">
        <v>40</v>
      </c>
      <c r="H312" s="17">
        <v>41.06</v>
      </c>
      <c r="I312" s="17">
        <f t="shared" si="29"/>
        <v>37.01559</v>
      </c>
      <c r="J312" s="24">
        <f t="shared" si="32"/>
        <v>34.7025</v>
      </c>
      <c r="K312" s="25">
        <v>0.0985</v>
      </c>
      <c r="L312" s="26">
        <v>0.25</v>
      </c>
      <c r="M312" s="24">
        <v>46.27</v>
      </c>
      <c r="N312" s="27">
        <f t="shared" si="30"/>
        <v>416.43</v>
      </c>
      <c r="O312" s="15"/>
      <c r="P312" s="15" t="s">
        <v>802</v>
      </c>
      <c r="Q312" s="15" t="s">
        <v>803</v>
      </c>
      <c r="R312" s="15" t="s">
        <v>32</v>
      </c>
      <c r="S312" s="15" t="s">
        <v>21</v>
      </c>
      <c r="T312" s="16">
        <v>9</v>
      </c>
      <c r="U312" s="17">
        <f t="shared" si="31"/>
        <v>416.43</v>
      </c>
    </row>
    <row r="313" ht="45" customHeight="1" spans="1:21">
      <c r="A313" s="14" t="s">
        <v>26</v>
      </c>
      <c r="B313" s="15" t="s">
        <v>885</v>
      </c>
      <c r="C313" s="15" t="s">
        <v>28</v>
      </c>
      <c r="D313" s="15" t="s">
        <v>886</v>
      </c>
      <c r="E313" s="15" t="s">
        <v>887</v>
      </c>
      <c r="F313" s="16">
        <f t="shared" si="28"/>
        <v>14</v>
      </c>
      <c r="G313" s="15" t="s">
        <v>40</v>
      </c>
      <c r="H313" s="17">
        <v>49.74</v>
      </c>
      <c r="I313" s="17">
        <f t="shared" si="29"/>
        <v>44.84061</v>
      </c>
      <c r="J313" s="24">
        <f t="shared" si="32"/>
        <v>42.0375</v>
      </c>
      <c r="K313" s="25">
        <v>0.0985</v>
      </c>
      <c r="L313" s="26">
        <v>0.25</v>
      </c>
      <c r="M313" s="24">
        <f>ROUND(I313,2)+(ROUND(I313,2)*L313)</f>
        <v>56.05</v>
      </c>
      <c r="N313" s="27">
        <f t="shared" si="30"/>
        <v>784.7</v>
      </c>
      <c r="O313" s="15"/>
      <c r="P313" s="15" t="s">
        <v>802</v>
      </c>
      <c r="Q313" s="15" t="s">
        <v>803</v>
      </c>
      <c r="R313" s="15" t="s">
        <v>32</v>
      </c>
      <c r="S313" s="15" t="s">
        <v>21</v>
      </c>
      <c r="T313" s="16">
        <v>14</v>
      </c>
      <c r="U313" s="17">
        <f t="shared" si="31"/>
        <v>784.7</v>
      </c>
    </row>
    <row r="314" ht="45" customHeight="1" spans="1:21">
      <c r="A314" s="14" t="s">
        <v>26</v>
      </c>
      <c r="B314" s="15" t="s">
        <v>888</v>
      </c>
      <c r="C314" s="15" t="s">
        <v>42</v>
      </c>
      <c r="D314" s="15" t="s">
        <v>889</v>
      </c>
      <c r="E314" s="15" t="s">
        <v>890</v>
      </c>
      <c r="F314" s="16">
        <f t="shared" si="28"/>
        <v>7.5</v>
      </c>
      <c r="G314" s="15" t="s">
        <v>31</v>
      </c>
      <c r="H314" s="17">
        <v>436.16</v>
      </c>
      <c r="I314" s="17">
        <f t="shared" si="29"/>
        <v>393.1938784</v>
      </c>
      <c r="J314" s="24">
        <f t="shared" si="32"/>
        <v>368.615625</v>
      </c>
      <c r="K314" s="25">
        <v>0.09851</v>
      </c>
      <c r="L314" s="26">
        <v>0.25</v>
      </c>
      <c r="M314" s="24">
        <f>ROUND(I314,2)+(ROUND(I314,2)*L314)</f>
        <v>491.4875</v>
      </c>
      <c r="N314" s="27">
        <f t="shared" si="30"/>
        <v>3686.18</v>
      </c>
      <c r="O314" s="15"/>
      <c r="P314" s="15" t="s">
        <v>802</v>
      </c>
      <c r="Q314" s="15" t="s">
        <v>803</v>
      </c>
      <c r="R314" s="15" t="s">
        <v>32</v>
      </c>
      <c r="S314" s="15" t="s">
        <v>21</v>
      </c>
      <c r="T314" s="16">
        <v>7.5</v>
      </c>
      <c r="U314" s="17">
        <f t="shared" si="31"/>
        <v>3686.175</v>
      </c>
    </row>
    <row r="315" ht="45" customHeight="1" spans="1:21">
      <c r="A315" s="14" t="s">
        <v>26</v>
      </c>
      <c r="B315" s="15" t="s">
        <v>891</v>
      </c>
      <c r="C315" s="15" t="s">
        <v>42</v>
      </c>
      <c r="D315" s="15" t="s">
        <v>892</v>
      </c>
      <c r="E315" s="15" t="s">
        <v>893</v>
      </c>
      <c r="F315" s="16">
        <f t="shared" si="28"/>
        <v>10</v>
      </c>
      <c r="G315" s="15" t="s">
        <v>40</v>
      </c>
      <c r="H315" s="17">
        <v>198.48</v>
      </c>
      <c r="I315" s="17">
        <f t="shared" si="29"/>
        <v>178.92972</v>
      </c>
      <c r="J315" s="24">
        <f t="shared" si="32"/>
        <v>167.746875</v>
      </c>
      <c r="K315" s="25">
        <v>0.0985</v>
      </c>
      <c r="L315" s="26">
        <v>0.25</v>
      </c>
      <c r="M315" s="24">
        <f>ROUND(I315,2)+(ROUND(I315,2)*L315)</f>
        <v>223.6625</v>
      </c>
      <c r="N315" s="27">
        <f t="shared" si="30"/>
        <v>2236.6</v>
      </c>
      <c r="O315" s="15"/>
      <c r="P315" s="15" t="s">
        <v>802</v>
      </c>
      <c r="Q315" s="15" t="s">
        <v>803</v>
      </c>
      <c r="R315" s="15" t="s">
        <v>32</v>
      </c>
      <c r="S315" s="15" t="s">
        <v>21</v>
      </c>
      <c r="T315" s="16">
        <v>10</v>
      </c>
      <c r="U315" s="17">
        <f t="shared" si="31"/>
        <v>2236.6</v>
      </c>
    </row>
    <row r="316" ht="45" customHeight="1" spans="1:21">
      <c r="A316" s="14" t="s">
        <v>26</v>
      </c>
      <c r="B316" s="15" t="s">
        <v>894</v>
      </c>
      <c r="C316" s="15" t="s">
        <v>42</v>
      </c>
      <c r="D316" s="15" t="s">
        <v>895</v>
      </c>
      <c r="E316" s="15" t="s">
        <v>896</v>
      </c>
      <c r="F316" s="16">
        <f t="shared" si="28"/>
        <v>107</v>
      </c>
      <c r="G316" s="15" t="s">
        <v>40</v>
      </c>
      <c r="H316" s="17">
        <v>44.26</v>
      </c>
      <c r="I316" s="17">
        <f t="shared" si="29"/>
        <v>39.891538</v>
      </c>
      <c r="J316" s="24">
        <f t="shared" si="32"/>
        <v>37.4025</v>
      </c>
      <c r="K316" s="25">
        <v>0.0987</v>
      </c>
      <c r="L316" s="26">
        <v>0.25</v>
      </c>
      <c r="M316" s="24">
        <v>49.87</v>
      </c>
      <c r="N316" s="27">
        <f t="shared" si="30"/>
        <v>5336.09</v>
      </c>
      <c r="O316" s="15"/>
      <c r="P316" s="15" t="s">
        <v>802</v>
      </c>
      <c r="Q316" s="15" t="s">
        <v>803</v>
      </c>
      <c r="R316" s="15" t="s">
        <v>32</v>
      </c>
      <c r="S316" s="15" t="s">
        <v>21</v>
      </c>
      <c r="T316" s="16">
        <v>107</v>
      </c>
      <c r="U316" s="17">
        <f t="shared" si="31"/>
        <v>5336.09</v>
      </c>
    </row>
    <row r="317" ht="45" customHeight="1" spans="1:21">
      <c r="A317" s="14" t="s">
        <v>26</v>
      </c>
      <c r="B317" s="15" t="s">
        <v>897</v>
      </c>
      <c r="C317" s="15" t="s">
        <v>42</v>
      </c>
      <c r="D317" s="15" t="s">
        <v>898</v>
      </c>
      <c r="E317" s="15" t="s">
        <v>899</v>
      </c>
      <c r="F317" s="16">
        <f t="shared" si="28"/>
        <v>9.7</v>
      </c>
      <c r="G317" s="15" t="s">
        <v>48</v>
      </c>
      <c r="H317" s="17">
        <v>129.2</v>
      </c>
      <c r="I317" s="17">
        <f t="shared" si="29"/>
        <v>116.4738</v>
      </c>
      <c r="J317" s="24">
        <f t="shared" si="32"/>
        <v>109.190625</v>
      </c>
      <c r="K317" s="25">
        <v>0.0985</v>
      </c>
      <c r="L317" s="26">
        <v>0.25</v>
      </c>
      <c r="M317" s="24">
        <f>ROUND(I317,2)+(ROUND(I317,2)*L317)</f>
        <v>145.5875</v>
      </c>
      <c r="N317" s="27">
        <f t="shared" si="30"/>
        <v>1412.22</v>
      </c>
      <c r="O317" s="15"/>
      <c r="P317" s="15" t="s">
        <v>802</v>
      </c>
      <c r="Q317" s="15" t="s">
        <v>803</v>
      </c>
      <c r="R317" s="15" t="s">
        <v>32</v>
      </c>
      <c r="S317" s="15" t="s">
        <v>21</v>
      </c>
      <c r="T317" s="16">
        <v>9.7</v>
      </c>
      <c r="U317" s="17">
        <f t="shared" si="31"/>
        <v>1412.223</v>
      </c>
    </row>
    <row r="318" ht="45" customHeight="1" spans="1:21">
      <c r="A318" s="14" t="s">
        <v>26</v>
      </c>
      <c r="B318" s="15" t="s">
        <v>900</v>
      </c>
      <c r="C318" s="15" t="s">
        <v>42</v>
      </c>
      <c r="D318" s="15" t="s">
        <v>901</v>
      </c>
      <c r="E318" s="15" t="s">
        <v>902</v>
      </c>
      <c r="F318" s="16">
        <f t="shared" si="28"/>
        <v>1</v>
      </c>
      <c r="G318" s="15" t="s">
        <v>40</v>
      </c>
      <c r="H318" s="17">
        <v>673.58</v>
      </c>
      <c r="I318" s="17">
        <f t="shared" si="29"/>
        <v>607.23237</v>
      </c>
      <c r="J318" s="24">
        <f t="shared" si="32"/>
        <v>569.278125</v>
      </c>
      <c r="K318" s="25">
        <v>0.0985</v>
      </c>
      <c r="L318" s="26">
        <v>0.25</v>
      </c>
      <c r="M318" s="24">
        <f>ROUND(I318,2)+(ROUND(I318,2)*L318)</f>
        <v>759.0375</v>
      </c>
      <c r="N318" s="27">
        <f t="shared" si="30"/>
        <v>759.04</v>
      </c>
      <c r="O318" s="15"/>
      <c r="P318" s="15" t="s">
        <v>903</v>
      </c>
      <c r="Q318" s="15" t="s">
        <v>904</v>
      </c>
      <c r="R318" s="15" t="s">
        <v>32</v>
      </c>
      <c r="S318" s="15" t="s">
        <v>21</v>
      </c>
      <c r="T318" s="16">
        <v>1</v>
      </c>
      <c r="U318" s="17">
        <f t="shared" si="31"/>
        <v>759.04</v>
      </c>
    </row>
    <row r="319" ht="45" customHeight="1" spans="1:21">
      <c r="A319" s="14" t="s">
        <v>26</v>
      </c>
      <c r="B319" s="15" t="s">
        <v>905</v>
      </c>
      <c r="C319" s="15" t="s">
        <v>28</v>
      </c>
      <c r="D319" s="15" t="s">
        <v>906</v>
      </c>
      <c r="E319" s="15" t="s">
        <v>907</v>
      </c>
      <c r="F319" s="16">
        <f t="shared" si="28"/>
        <v>2</v>
      </c>
      <c r="G319" s="15" t="s">
        <v>40</v>
      </c>
      <c r="H319" s="17">
        <v>60.93</v>
      </c>
      <c r="I319" s="17">
        <f t="shared" si="29"/>
        <v>54.928395</v>
      </c>
      <c r="J319" s="24">
        <f t="shared" si="32"/>
        <v>51.4875</v>
      </c>
      <c r="K319" s="25">
        <v>0.0985</v>
      </c>
      <c r="L319" s="26">
        <v>0.25</v>
      </c>
      <c r="M319" s="24">
        <v>68.65</v>
      </c>
      <c r="N319" s="27">
        <f t="shared" si="30"/>
        <v>137.3</v>
      </c>
      <c r="O319" s="15"/>
      <c r="P319" s="15" t="s">
        <v>903</v>
      </c>
      <c r="Q319" s="15" t="s">
        <v>904</v>
      </c>
      <c r="R319" s="15" t="s">
        <v>32</v>
      </c>
      <c r="S319" s="15" t="s">
        <v>21</v>
      </c>
      <c r="T319" s="16">
        <v>2</v>
      </c>
      <c r="U319" s="17">
        <f t="shared" si="31"/>
        <v>137.3</v>
      </c>
    </row>
    <row r="320" ht="45" customHeight="1" spans="1:21">
      <c r="A320" s="14" t="s">
        <v>26</v>
      </c>
      <c r="B320" s="15" t="s">
        <v>908</v>
      </c>
      <c r="C320" s="15" t="s">
        <v>28</v>
      </c>
      <c r="D320" s="15" t="s">
        <v>909</v>
      </c>
      <c r="E320" s="15" t="s">
        <v>910</v>
      </c>
      <c r="F320" s="16">
        <f t="shared" si="28"/>
        <v>45.8</v>
      </c>
      <c r="G320" s="15" t="s">
        <v>48</v>
      </c>
      <c r="H320" s="17">
        <v>39.99</v>
      </c>
      <c r="I320" s="17">
        <f t="shared" si="29"/>
        <v>36.050985</v>
      </c>
      <c r="J320" s="24">
        <f t="shared" si="32"/>
        <v>33.7875</v>
      </c>
      <c r="K320" s="25">
        <v>0.0985</v>
      </c>
      <c r="L320" s="26">
        <v>0.25</v>
      </c>
      <c r="M320" s="24">
        <v>45.05</v>
      </c>
      <c r="N320" s="27">
        <f t="shared" si="30"/>
        <v>2063.29</v>
      </c>
      <c r="O320" s="15"/>
      <c r="P320" s="15" t="s">
        <v>903</v>
      </c>
      <c r="Q320" s="15" t="s">
        <v>904</v>
      </c>
      <c r="R320" s="15" t="s">
        <v>32</v>
      </c>
      <c r="S320" s="15" t="s">
        <v>21</v>
      </c>
      <c r="T320" s="16">
        <v>45.8</v>
      </c>
      <c r="U320" s="17">
        <f t="shared" si="31"/>
        <v>2063.29</v>
      </c>
    </row>
    <row r="321" ht="45" customHeight="1" spans="1:21">
      <c r="A321" s="14" t="s">
        <v>26</v>
      </c>
      <c r="B321" s="15" t="s">
        <v>911</v>
      </c>
      <c r="C321" s="15" t="s">
        <v>42</v>
      </c>
      <c r="D321" s="15" t="s">
        <v>912</v>
      </c>
      <c r="E321" s="15" t="s">
        <v>913</v>
      </c>
      <c r="F321" s="16">
        <f t="shared" si="28"/>
        <v>1</v>
      </c>
      <c r="G321" s="15" t="s">
        <v>40</v>
      </c>
      <c r="H321" s="17">
        <v>14.38</v>
      </c>
      <c r="I321" s="17">
        <f t="shared" si="29"/>
        <v>12.96357</v>
      </c>
      <c r="J321" s="24">
        <f t="shared" si="32"/>
        <v>12.15</v>
      </c>
      <c r="K321" s="25">
        <v>0.0985</v>
      </c>
      <c r="L321" s="26">
        <v>0.25</v>
      </c>
      <c r="M321" s="24">
        <f>ROUND(I321,2)+(ROUND(I321,2)*L321)</f>
        <v>16.2</v>
      </c>
      <c r="N321" s="27">
        <f t="shared" si="30"/>
        <v>16.2</v>
      </c>
      <c r="O321" s="15"/>
      <c r="P321" s="15" t="s">
        <v>903</v>
      </c>
      <c r="Q321" s="15" t="s">
        <v>904</v>
      </c>
      <c r="R321" s="15" t="s">
        <v>32</v>
      </c>
      <c r="S321" s="15" t="s">
        <v>21</v>
      </c>
      <c r="T321" s="16">
        <v>1</v>
      </c>
      <c r="U321" s="17">
        <f t="shared" si="31"/>
        <v>16.2</v>
      </c>
    </row>
    <row r="322" ht="45" customHeight="1" spans="1:21">
      <c r="A322" s="14" t="s">
        <v>26</v>
      </c>
      <c r="B322" s="15" t="s">
        <v>914</v>
      </c>
      <c r="C322" s="15" t="s">
        <v>42</v>
      </c>
      <c r="D322" s="15" t="s">
        <v>915</v>
      </c>
      <c r="E322" s="15" t="s">
        <v>916</v>
      </c>
      <c r="F322" s="16">
        <f t="shared" si="28"/>
        <v>4</v>
      </c>
      <c r="G322" s="15" t="s">
        <v>40</v>
      </c>
      <c r="H322" s="17">
        <v>28.2</v>
      </c>
      <c r="I322" s="17">
        <f t="shared" si="29"/>
        <v>25.4223</v>
      </c>
      <c r="J322" s="24">
        <f t="shared" si="32"/>
        <v>23.8275</v>
      </c>
      <c r="K322" s="25">
        <v>0.0985</v>
      </c>
      <c r="L322" s="26">
        <v>0.25</v>
      </c>
      <c r="M322" s="24">
        <v>31.77</v>
      </c>
      <c r="N322" s="27">
        <f t="shared" si="30"/>
        <v>127.08</v>
      </c>
      <c r="O322" s="15"/>
      <c r="P322" s="15" t="s">
        <v>903</v>
      </c>
      <c r="Q322" s="15" t="s">
        <v>904</v>
      </c>
      <c r="R322" s="15" t="s">
        <v>32</v>
      </c>
      <c r="S322" s="15" t="s">
        <v>21</v>
      </c>
      <c r="T322" s="16">
        <v>4</v>
      </c>
      <c r="U322" s="17">
        <f t="shared" si="31"/>
        <v>127.08</v>
      </c>
    </row>
    <row r="323" ht="45" customHeight="1" spans="1:21">
      <c r="A323" s="14" t="s">
        <v>26</v>
      </c>
      <c r="B323" s="15" t="s">
        <v>917</v>
      </c>
      <c r="C323" s="15" t="s">
        <v>28</v>
      </c>
      <c r="D323" s="15" t="s">
        <v>918</v>
      </c>
      <c r="E323" s="15" t="s">
        <v>919</v>
      </c>
      <c r="F323" s="16">
        <f t="shared" si="28"/>
        <v>2</v>
      </c>
      <c r="G323" s="15" t="s">
        <v>40</v>
      </c>
      <c r="H323" s="17">
        <v>71.28</v>
      </c>
      <c r="I323" s="17">
        <f t="shared" si="29"/>
        <v>64.25892</v>
      </c>
      <c r="J323" s="24">
        <f t="shared" si="32"/>
        <v>60.24</v>
      </c>
      <c r="K323" s="25">
        <v>0.0985</v>
      </c>
      <c r="L323" s="26">
        <v>0.25</v>
      </c>
      <c r="M323" s="24">
        <v>80.32</v>
      </c>
      <c r="N323" s="27">
        <f t="shared" si="30"/>
        <v>160.64</v>
      </c>
      <c r="O323" s="15"/>
      <c r="P323" s="15" t="s">
        <v>903</v>
      </c>
      <c r="Q323" s="15" t="s">
        <v>904</v>
      </c>
      <c r="R323" s="15" t="s">
        <v>32</v>
      </c>
      <c r="S323" s="15" t="s">
        <v>21</v>
      </c>
      <c r="T323" s="16">
        <v>2</v>
      </c>
      <c r="U323" s="17">
        <f t="shared" si="31"/>
        <v>160.64</v>
      </c>
    </row>
    <row r="324" ht="45" customHeight="1" spans="1:21">
      <c r="A324" s="14" t="s">
        <v>26</v>
      </c>
      <c r="B324" s="15" t="s">
        <v>920</v>
      </c>
      <c r="C324" s="15" t="s">
        <v>28</v>
      </c>
      <c r="D324" s="15" t="s">
        <v>921</v>
      </c>
      <c r="E324" s="15" t="s">
        <v>922</v>
      </c>
      <c r="F324" s="16">
        <f t="shared" si="28"/>
        <v>4</v>
      </c>
      <c r="G324" s="15" t="s">
        <v>40</v>
      </c>
      <c r="H324" s="17">
        <v>83.59</v>
      </c>
      <c r="I324" s="17">
        <f t="shared" si="29"/>
        <v>75.356385</v>
      </c>
      <c r="J324" s="24">
        <f t="shared" si="32"/>
        <v>70.6425</v>
      </c>
      <c r="K324" s="25">
        <v>0.0985</v>
      </c>
      <c r="L324" s="26">
        <v>0.25</v>
      </c>
      <c r="M324" s="24">
        <v>94.19</v>
      </c>
      <c r="N324" s="27">
        <f t="shared" si="30"/>
        <v>376.76</v>
      </c>
      <c r="O324" s="15"/>
      <c r="P324" s="15" t="s">
        <v>903</v>
      </c>
      <c r="Q324" s="15" t="s">
        <v>904</v>
      </c>
      <c r="R324" s="15" t="s">
        <v>32</v>
      </c>
      <c r="S324" s="15" t="s">
        <v>21</v>
      </c>
      <c r="T324" s="16">
        <v>4</v>
      </c>
      <c r="U324" s="17">
        <f t="shared" si="31"/>
        <v>376.76</v>
      </c>
    </row>
    <row r="325" ht="45" customHeight="1" spans="1:21">
      <c r="A325" s="14" t="s">
        <v>26</v>
      </c>
      <c r="B325" s="15" t="s">
        <v>923</v>
      </c>
      <c r="C325" s="15" t="s">
        <v>28</v>
      </c>
      <c r="D325" s="15" t="s">
        <v>924</v>
      </c>
      <c r="E325" s="15" t="s">
        <v>925</v>
      </c>
      <c r="F325" s="16">
        <f t="shared" si="28"/>
        <v>1</v>
      </c>
      <c r="G325" s="15" t="s">
        <v>40</v>
      </c>
      <c r="H325" s="17">
        <v>42.13</v>
      </c>
      <c r="I325" s="17">
        <f t="shared" si="29"/>
        <v>37.980195</v>
      </c>
      <c r="J325" s="24">
        <f t="shared" si="32"/>
        <v>35.6025</v>
      </c>
      <c r="K325" s="25">
        <v>0.0985</v>
      </c>
      <c r="L325" s="26">
        <v>0.25</v>
      </c>
      <c r="M325" s="24">
        <v>47.47</v>
      </c>
      <c r="N325" s="27">
        <f t="shared" si="30"/>
        <v>47.47</v>
      </c>
      <c r="O325" s="15"/>
      <c r="P325" s="15" t="s">
        <v>903</v>
      </c>
      <c r="Q325" s="15" t="s">
        <v>904</v>
      </c>
      <c r="R325" s="15" t="s">
        <v>32</v>
      </c>
      <c r="S325" s="15" t="s">
        <v>21</v>
      </c>
      <c r="T325" s="16">
        <v>1</v>
      </c>
      <c r="U325" s="17">
        <f t="shared" si="31"/>
        <v>47.47</v>
      </c>
    </row>
    <row r="326" ht="45" customHeight="1" spans="1:21">
      <c r="A326" s="14" t="s">
        <v>26</v>
      </c>
      <c r="B326" s="15" t="s">
        <v>926</v>
      </c>
      <c r="C326" s="15" t="s">
        <v>28</v>
      </c>
      <c r="D326" s="15" t="s">
        <v>927</v>
      </c>
      <c r="E326" s="15" t="s">
        <v>928</v>
      </c>
      <c r="F326" s="16">
        <f t="shared" si="28"/>
        <v>8</v>
      </c>
      <c r="G326" s="15" t="s">
        <v>40</v>
      </c>
      <c r="H326" s="17">
        <v>22.72</v>
      </c>
      <c r="I326" s="17">
        <f t="shared" si="29"/>
        <v>20.48208</v>
      </c>
      <c r="J326" s="24">
        <f t="shared" si="32"/>
        <v>19.1925</v>
      </c>
      <c r="K326" s="25">
        <v>0.0985</v>
      </c>
      <c r="L326" s="26">
        <v>0.25</v>
      </c>
      <c r="M326" s="24">
        <v>25.59</v>
      </c>
      <c r="N326" s="27">
        <f t="shared" si="30"/>
        <v>204.72</v>
      </c>
      <c r="O326" s="15"/>
      <c r="P326" s="15" t="s">
        <v>903</v>
      </c>
      <c r="Q326" s="15" t="s">
        <v>904</v>
      </c>
      <c r="R326" s="15" t="s">
        <v>32</v>
      </c>
      <c r="S326" s="15" t="s">
        <v>21</v>
      </c>
      <c r="T326" s="16">
        <v>8</v>
      </c>
      <c r="U326" s="17">
        <f t="shared" si="31"/>
        <v>204.72</v>
      </c>
    </row>
    <row r="327" ht="45" customHeight="1" spans="1:21">
      <c r="A327" s="14" t="s">
        <v>26</v>
      </c>
      <c r="B327" s="15" t="s">
        <v>929</v>
      </c>
      <c r="C327" s="15" t="s">
        <v>28</v>
      </c>
      <c r="D327" s="15" t="s">
        <v>930</v>
      </c>
      <c r="E327" s="15" t="s">
        <v>931</v>
      </c>
      <c r="F327" s="16">
        <f t="shared" si="28"/>
        <v>2</v>
      </c>
      <c r="G327" s="15" t="s">
        <v>40</v>
      </c>
      <c r="H327" s="17">
        <v>50.71</v>
      </c>
      <c r="I327" s="17">
        <f t="shared" si="29"/>
        <v>45.7145579</v>
      </c>
      <c r="J327" s="24">
        <f t="shared" si="32"/>
        <v>42.853125</v>
      </c>
      <c r="K327" s="25">
        <v>0.09851</v>
      </c>
      <c r="L327" s="26">
        <v>0.25</v>
      </c>
      <c r="M327" s="24">
        <f>ROUND(I327,2)+(ROUND(I327,2)*L327)</f>
        <v>57.1375</v>
      </c>
      <c r="N327" s="27">
        <f t="shared" si="30"/>
        <v>114.28</v>
      </c>
      <c r="O327" s="15"/>
      <c r="P327" s="15" t="s">
        <v>903</v>
      </c>
      <c r="Q327" s="15" t="s">
        <v>904</v>
      </c>
      <c r="R327" s="15" t="s">
        <v>32</v>
      </c>
      <c r="S327" s="15" t="s">
        <v>21</v>
      </c>
      <c r="T327" s="16">
        <v>2</v>
      </c>
      <c r="U327" s="17">
        <f t="shared" si="31"/>
        <v>114.28</v>
      </c>
    </row>
    <row r="328" ht="45" customHeight="1" spans="1:21">
      <c r="A328" s="14" t="s">
        <v>26</v>
      </c>
      <c r="B328" s="15" t="s">
        <v>932</v>
      </c>
      <c r="C328" s="15" t="s">
        <v>28</v>
      </c>
      <c r="D328" s="15" t="s">
        <v>933</v>
      </c>
      <c r="E328" s="15" t="s">
        <v>934</v>
      </c>
      <c r="F328" s="16">
        <f t="shared" si="28"/>
        <v>6</v>
      </c>
      <c r="G328" s="15" t="s">
        <v>40</v>
      </c>
      <c r="H328" s="17">
        <v>50.71</v>
      </c>
      <c r="I328" s="17">
        <f t="shared" si="29"/>
        <v>45.7145579</v>
      </c>
      <c r="J328" s="24">
        <f t="shared" si="32"/>
        <v>42.853125</v>
      </c>
      <c r="K328" s="25">
        <v>0.09851</v>
      </c>
      <c r="L328" s="26">
        <v>0.25</v>
      </c>
      <c r="M328" s="24">
        <f>ROUND(I328,2)+(ROUND(I328,2)*L328)</f>
        <v>57.1375</v>
      </c>
      <c r="N328" s="27">
        <f t="shared" si="30"/>
        <v>342.84</v>
      </c>
      <c r="O328" s="15"/>
      <c r="P328" s="15" t="s">
        <v>903</v>
      </c>
      <c r="Q328" s="15" t="s">
        <v>904</v>
      </c>
      <c r="R328" s="15" t="s">
        <v>32</v>
      </c>
      <c r="S328" s="15" t="s">
        <v>21</v>
      </c>
      <c r="T328" s="16">
        <v>6</v>
      </c>
      <c r="U328" s="17">
        <f t="shared" si="31"/>
        <v>342.84</v>
      </c>
    </row>
    <row r="329" ht="45" customHeight="1" spans="1:21">
      <c r="A329" s="14" t="s">
        <v>26</v>
      </c>
      <c r="B329" s="15" t="s">
        <v>935</v>
      </c>
      <c r="C329" s="15" t="s">
        <v>28</v>
      </c>
      <c r="D329" s="15" t="s">
        <v>936</v>
      </c>
      <c r="E329" s="15" t="s">
        <v>937</v>
      </c>
      <c r="F329" s="16">
        <f t="shared" si="28"/>
        <v>2</v>
      </c>
      <c r="G329" s="15" t="s">
        <v>40</v>
      </c>
      <c r="H329" s="17">
        <v>34.35</v>
      </c>
      <c r="I329" s="17">
        <f t="shared" si="29"/>
        <v>30.966525</v>
      </c>
      <c r="J329" s="24">
        <f t="shared" si="32"/>
        <v>29.034375</v>
      </c>
      <c r="K329" s="25">
        <v>0.0985</v>
      </c>
      <c r="L329" s="26">
        <v>0.25</v>
      </c>
      <c r="M329" s="24">
        <f>ROUND(I329,2)+(ROUND(I329,2)*L329)</f>
        <v>38.7125</v>
      </c>
      <c r="N329" s="27">
        <f t="shared" si="30"/>
        <v>77.42</v>
      </c>
      <c r="O329" s="15"/>
      <c r="P329" s="15" t="s">
        <v>903</v>
      </c>
      <c r="Q329" s="15" t="s">
        <v>904</v>
      </c>
      <c r="R329" s="15" t="s">
        <v>32</v>
      </c>
      <c r="S329" s="15" t="s">
        <v>21</v>
      </c>
      <c r="T329" s="16">
        <v>2</v>
      </c>
      <c r="U329" s="17">
        <f t="shared" si="31"/>
        <v>77.42</v>
      </c>
    </row>
    <row r="330" ht="45" customHeight="1" spans="1:21">
      <c r="A330" s="14" t="s">
        <v>26</v>
      </c>
      <c r="B330" s="15" t="s">
        <v>938</v>
      </c>
      <c r="C330" s="15" t="s">
        <v>42</v>
      </c>
      <c r="D330" s="15" t="s">
        <v>939</v>
      </c>
      <c r="E330" s="15" t="s">
        <v>940</v>
      </c>
      <c r="F330" s="16">
        <f t="shared" si="28"/>
        <v>0.24</v>
      </c>
      <c r="G330" s="15" t="s">
        <v>31</v>
      </c>
      <c r="H330" s="17">
        <v>496.76</v>
      </c>
      <c r="I330" s="17">
        <f t="shared" si="29"/>
        <v>447.82914</v>
      </c>
      <c r="J330" s="24">
        <f t="shared" si="32"/>
        <v>419.835</v>
      </c>
      <c r="K330" s="25">
        <v>0.0985</v>
      </c>
      <c r="L330" s="26">
        <v>0.25</v>
      </c>
      <c r="M330" s="24">
        <v>559.78</v>
      </c>
      <c r="N330" s="27">
        <f t="shared" si="30"/>
        <v>134.35</v>
      </c>
      <c r="O330" s="15"/>
      <c r="P330" s="15" t="s">
        <v>903</v>
      </c>
      <c r="Q330" s="15" t="s">
        <v>904</v>
      </c>
      <c r="R330" s="15" t="s">
        <v>32</v>
      </c>
      <c r="S330" s="15" t="s">
        <v>21</v>
      </c>
      <c r="T330" s="16">
        <v>0.24</v>
      </c>
      <c r="U330" s="17">
        <f t="shared" si="31"/>
        <v>134.3472</v>
      </c>
    </row>
    <row r="331" ht="45" customHeight="1" spans="1:21">
      <c r="A331" s="14" t="s">
        <v>26</v>
      </c>
      <c r="B331" s="15" t="s">
        <v>941</v>
      </c>
      <c r="C331" s="15" t="s">
        <v>28</v>
      </c>
      <c r="D331" s="15" t="s">
        <v>942</v>
      </c>
      <c r="E331" s="15" t="s">
        <v>943</v>
      </c>
      <c r="F331" s="16">
        <f t="shared" si="28"/>
        <v>6</v>
      </c>
      <c r="G331" s="15" t="s">
        <v>40</v>
      </c>
      <c r="H331" s="17">
        <v>196.09</v>
      </c>
      <c r="I331" s="17">
        <f t="shared" si="29"/>
        <v>176.755526</v>
      </c>
      <c r="J331" s="24">
        <f t="shared" si="32"/>
        <v>165.7125</v>
      </c>
      <c r="K331" s="25">
        <v>0.0986</v>
      </c>
      <c r="L331" s="26">
        <v>0.25</v>
      </c>
      <c r="M331" s="24">
        <f>ROUND(I331,2)+(ROUND(I331,2)*L331)</f>
        <v>220.95</v>
      </c>
      <c r="N331" s="27">
        <f t="shared" si="30"/>
        <v>1325.7</v>
      </c>
      <c r="O331" s="15"/>
      <c r="P331" s="15" t="s">
        <v>944</v>
      </c>
      <c r="Q331" s="15" t="s">
        <v>945</v>
      </c>
      <c r="R331" s="15" t="s">
        <v>32</v>
      </c>
      <c r="S331" s="15" t="s">
        <v>21</v>
      </c>
      <c r="T331" s="16">
        <v>6</v>
      </c>
      <c r="U331" s="17">
        <f t="shared" si="31"/>
        <v>1325.7</v>
      </c>
    </row>
    <row r="332" ht="45" customHeight="1" spans="1:21">
      <c r="A332" s="14" t="s">
        <v>26</v>
      </c>
      <c r="B332" s="15" t="s">
        <v>946</v>
      </c>
      <c r="C332" s="15" t="s">
        <v>28</v>
      </c>
      <c r="D332" s="15" t="s">
        <v>947</v>
      </c>
      <c r="E332" s="15" t="s">
        <v>948</v>
      </c>
      <c r="F332" s="16">
        <f t="shared" si="28"/>
        <v>2</v>
      </c>
      <c r="G332" s="15" t="s">
        <v>40</v>
      </c>
      <c r="H332" s="17">
        <v>541.09</v>
      </c>
      <c r="I332" s="17">
        <f t="shared" si="29"/>
        <v>487.7709914</v>
      </c>
      <c r="J332" s="24">
        <f t="shared" si="32"/>
        <v>457.29</v>
      </c>
      <c r="K332" s="25">
        <v>0.09854</v>
      </c>
      <c r="L332" s="26">
        <v>0.25</v>
      </c>
      <c r="M332" s="24">
        <v>609.72</v>
      </c>
      <c r="N332" s="27">
        <f t="shared" si="30"/>
        <v>1219.44</v>
      </c>
      <c r="O332" s="15"/>
      <c r="P332" s="15" t="s">
        <v>944</v>
      </c>
      <c r="Q332" s="15" t="s">
        <v>945</v>
      </c>
      <c r="R332" s="15" t="s">
        <v>32</v>
      </c>
      <c r="S332" s="15" t="s">
        <v>21</v>
      </c>
      <c r="T332" s="16">
        <v>2</v>
      </c>
      <c r="U332" s="17">
        <f t="shared" si="31"/>
        <v>1219.44</v>
      </c>
    </row>
    <row r="333" ht="54.75" customHeight="1" spans="1:21">
      <c r="A333" s="14" t="s">
        <v>26</v>
      </c>
      <c r="B333" s="15" t="s">
        <v>949</v>
      </c>
      <c r="C333" s="15" t="s">
        <v>28</v>
      </c>
      <c r="D333" s="15" t="s">
        <v>950</v>
      </c>
      <c r="E333" s="15" t="s">
        <v>951</v>
      </c>
      <c r="F333" s="16">
        <f t="shared" si="28"/>
        <v>1</v>
      </c>
      <c r="G333" s="15" t="s">
        <v>40</v>
      </c>
      <c r="H333" s="17">
        <v>1832.94</v>
      </c>
      <c r="I333" s="17">
        <f t="shared" si="29"/>
        <v>1652.3404218</v>
      </c>
      <c r="J333" s="24">
        <f t="shared" si="32"/>
        <v>1549.06875</v>
      </c>
      <c r="K333" s="25">
        <v>0.09853</v>
      </c>
      <c r="L333" s="26">
        <v>0.25</v>
      </c>
      <c r="M333" s="24">
        <f>ROUND(I333,2)+(ROUND(I333,2)*L333)</f>
        <v>2065.425</v>
      </c>
      <c r="N333" s="27">
        <f t="shared" si="30"/>
        <v>2065.43</v>
      </c>
      <c r="O333" s="15"/>
      <c r="P333" s="15" t="s">
        <v>944</v>
      </c>
      <c r="Q333" s="15" t="s">
        <v>945</v>
      </c>
      <c r="R333" s="15" t="s">
        <v>32</v>
      </c>
      <c r="S333" s="15" t="s">
        <v>21</v>
      </c>
      <c r="T333" s="16">
        <v>1</v>
      </c>
      <c r="U333" s="17">
        <f t="shared" si="31"/>
        <v>2065.43</v>
      </c>
    </row>
    <row r="334" ht="45" customHeight="1" spans="1:21">
      <c r="A334" s="14" t="s">
        <v>26</v>
      </c>
      <c r="B334" s="15" t="s">
        <v>952</v>
      </c>
      <c r="C334" s="15" t="s">
        <v>28</v>
      </c>
      <c r="D334" s="15" t="s">
        <v>953</v>
      </c>
      <c r="E334" s="15" t="s">
        <v>954</v>
      </c>
      <c r="F334" s="16">
        <f t="shared" si="28"/>
        <v>1</v>
      </c>
      <c r="G334" s="15" t="s">
        <v>40</v>
      </c>
      <c r="H334" s="17">
        <v>3537.15</v>
      </c>
      <c r="I334" s="17">
        <f t="shared" si="29"/>
        <v>3188.740725</v>
      </c>
      <c r="J334" s="24">
        <f t="shared" si="32"/>
        <v>2989.41</v>
      </c>
      <c r="K334" s="25">
        <v>0.0985</v>
      </c>
      <c r="L334" s="26">
        <v>0.25</v>
      </c>
      <c r="M334" s="24">
        <v>3985.88</v>
      </c>
      <c r="N334" s="27">
        <f t="shared" si="30"/>
        <v>3985.88</v>
      </c>
      <c r="O334" s="15"/>
      <c r="P334" s="15" t="s">
        <v>944</v>
      </c>
      <c r="Q334" s="15" t="s">
        <v>945</v>
      </c>
      <c r="R334" s="15" t="s">
        <v>32</v>
      </c>
      <c r="S334" s="15" t="s">
        <v>21</v>
      </c>
      <c r="T334" s="16">
        <v>1</v>
      </c>
      <c r="U334" s="17">
        <f t="shared" si="31"/>
        <v>3985.88</v>
      </c>
    </row>
    <row r="335" ht="45" customHeight="1" spans="1:21">
      <c r="A335" s="14" t="s">
        <v>26</v>
      </c>
      <c r="B335" s="15" t="s">
        <v>955</v>
      </c>
      <c r="C335" s="15" t="s">
        <v>28</v>
      </c>
      <c r="D335" s="15" t="s">
        <v>660</v>
      </c>
      <c r="E335" s="15" t="s">
        <v>661</v>
      </c>
      <c r="F335" s="16">
        <f t="shared" si="28"/>
        <v>5</v>
      </c>
      <c r="G335" s="15" t="s">
        <v>40</v>
      </c>
      <c r="H335" s="17">
        <v>396.1</v>
      </c>
      <c r="I335" s="17">
        <f t="shared" si="29"/>
        <v>357.08415</v>
      </c>
      <c r="J335" s="24">
        <f t="shared" si="32"/>
        <v>334.755</v>
      </c>
      <c r="K335" s="25">
        <v>0.0985</v>
      </c>
      <c r="L335" s="26">
        <v>0.25</v>
      </c>
      <c r="M335" s="24">
        <v>446.34</v>
      </c>
      <c r="N335" s="27">
        <f t="shared" si="30"/>
        <v>2231.7</v>
      </c>
      <c r="O335" s="15"/>
      <c r="P335" s="15" t="s">
        <v>944</v>
      </c>
      <c r="Q335" s="15" t="s">
        <v>945</v>
      </c>
      <c r="R335" s="15" t="s">
        <v>32</v>
      </c>
      <c r="S335" s="15" t="s">
        <v>21</v>
      </c>
      <c r="T335" s="16">
        <v>5</v>
      </c>
      <c r="U335" s="17">
        <f t="shared" si="31"/>
        <v>2231.7</v>
      </c>
    </row>
    <row r="336" ht="45" customHeight="1" spans="1:21">
      <c r="A336" s="14" t="s">
        <v>26</v>
      </c>
      <c r="B336" s="15" t="s">
        <v>956</v>
      </c>
      <c r="C336" s="15" t="s">
        <v>28</v>
      </c>
      <c r="D336" s="15" t="s">
        <v>957</v>
      </c>
      <c r="E336" s="15" t="s">
        <v>958</v>
      </c>
      <c r="F336" s="16">
        <f t="shared" si="28"/>
        <v>3</v>
      </c>
      <c r="G336" s="15" t="s">
        <v>40</v>
      </c>
      <c r="H336" s="17">
        <v>424.32</v>
      </c>
      <c r="I336" s="17">
        <f t="shared" si="29"/>
        <v>382.52448</v>
      </c>
      <c r="J336" s="24">
        <f t="shared" si="32"/>
        <v>358.605</v>
      </c>
      <c r="K336" s="25">
        <v>0.0985</v>
      </c>
      <c r="L336" s="26">
        <v>0.25</v>
      </c>
      <c r="M336" s="24">
        <v>478.14</v>
      </c>
      <c r="N336" s="27">
        <f t="shared" si="30"/>
        <v>1434.42</v>
      </c>
      <c r="O336" s="15"/>
      <c r="P336" s="15" t="s">
        <v>944</v>
      </c>
      <c r="Q336" s="15" t="s">
        <v>945</v>
      </c>
      <c r="R336" s="15" t="s">
        <v>32</v>
      </c>
      <c r="S336" s="15" t="s">
        <v>21</v>
      </c>
      <c r="T336" s="16">
        <v>3</v>
      </c>
      <c r="U336" s="17">
        <f t="shared" si="31"/>
        <v>1434.42</v>
      </c>
    </row>
    <row r="337" ht="45" customHeight="1" spans="1:21">
      <c r="A337" s="14" t="s">
        <v>26</v>
      </c>
      <c r="B337" s="15" t="s">
        <v>959</v>
      </c>
      <c r="C337" s="15" t="s">
        <v>28</v>
      </c>
      <c r="D337" s="15" t="s">
        <v>960</v>
      </c>
      <c r="E337" s="15" t="s">
        <v>961</v>
      </c>
      <c r="F337" s="16">
        <f t="shared" si="28"/>
        <v>1</v>
      </c>
      <c r="G337" s="15" t="s">
        <v>40</v>
      </c>
      <c r="H337" s="17">
        <v>145.2</v>
      </c>
      <c r="I337" s="17">
        <f t="shared" si="29"/>
        <v>130.8978</v>
      </c>
      <c r="J337" s="24">
        <f t="shared" si="32"/>
        <v>122.7075</v>
      </c>
      <c r="K337" s="25">
        <v>0.0985</v>
      </c>
      <c r="L337" s="26">
        <v>0.25</v>
      </c>
      <c r="M337" s="24">
        <v>163.61</v>
      </c>
      <c r="N337" s="27">
        <f t="shared" si="30"/>
        <v>163.61</v>
      </c>
      <c r="O337" s="15"/>
      <c r="P337" s="15" t="s">
        <v>944</v>
      </c>
      <c r="Q337" s="15" t="s">
        <v>945</v>
      </c>
      <c r="R337" s="15" t="s">
        <v>32</v>
      </c>
      <c r="S337" s="15" t="s">
        <v>21</v>
      </c>
      <c r="T337" s="16">
        <v>1</v>
      </c>
      <c r="U337" s="17">
        <f t="shared" si="31"/>
        <v>163.61</v>
      </c>
    </row>
    <row r="338" ht="45" customHeight="1" spans="1:21">
      <c r="A338" s="14" t="s">
        <v>26</v>
      </c>
      <c r="B338" s="15" t="s">
        <v>962</v>
      </c>
      <c r="C338" s="15" t="s">
        <v>42</v>
      </c>
      <c r="D338" s="15" t="s">
        <v>963</v>
      </c>
      <c r="E338" s="15" t="s">
        <v>964</v>
      </c>
      <c r="F338" s="16">
        <f t="shared" si="28"/>
        <v>1</v>
      </c>
      <c r="G338" s="15" t="s">
        <v>40</v>
      </c>
      <c r="H338" s="17">
        <v>4622.19</v>
      </c>
      <c r="I338" s="17">
        <f t="shared" si="29"/>
        <v>4166.904285</v>
      </c>
      <c r="J338" s="24">
        <f t="shared" si="32"/>
        <v>3906.46875</v>
      </c>
      <c r="K338" s="25">
        <v>0.0985</v>
      </c>
      <c r="L338" s="26">
        <v>0.25</v>
      </c>
      <c r="M338" s="24">
        <f>ROUND(I338,2)+(ROUND(I338,2)*L338)</f>
        <v>5208.625</v>
      </c>
      <c r="N338" s="27">
        <f t="shared" si="30"/>
        <v>5208.63</v>
      </c>
      <c r="O338" s="15"/>
      <c r="P338" s="15" t="s">
        <v>944</v>
      </c>
      <c r="Q338" s="15" t="s">
        <v>945</v>
      </c>
      <c r="R338" s="15" t="s">
        <v>32</v>
      </c>
      <c r="S338" s="15" t="s">
        <v>21</v>
      </c>
      <c r="T338" s="16">
        <v>1</v>
      </c>
      <c r="U338" s="17">
        <f t="shared" si="31"/>
        <v>5208.63</v>
      </c>
    </row>
    <row r="339" ht="45" customHeight="1" spans="1:21">
      <c r="A339" s="14" t="s">
        <v>26</v>
      </c>
      <c r="B339" s="15" t="s">
        <v>965</v>
      </c>
      <c r="C339" s="15" t="s">
        <v>42</v>
      </c>
      <c r="D339" s="15" t="s">
        <v>966</v>
      </c>
      <c r="E339" s="15" t="s">
        <v>967</v>
      </c>
      <c r="F339" s="16">
        <f t="shared" si="28"/>
        <v>1</v>
      </c>
      <c r="G339" s="15" t="s">
        <v>40</v>
      </c>
      <c r="H339" s="17">
        <v>489.31</v>
      </c>
      <c r="I339" s="17">
        <f t="shared" si="29"/>
        <v>441.112965</v>
      </c>
      <c r="J339" s="24">
        <f t="shared" si="32"/>
        <v>413.540625</v>
      </c>
      <c r="K339" s="25">
        <v>0.0985</v>
      </c>
      <c r="L339" s="26">
        <v>0.25</v>
      </c>
      <c r="M339" s="24">
        <f>ROUND(I339,2)+(ROUND(I339,2)*L339)</f>
        <v>551.3875</v>
      </c>
      <c r="N339" s="27">
        <f t="shared" si="30"/>
        <v>551.39</v>
      </c>
      <c r="O339" s="15"/>
      <c r="P339" s="15" t="s">
        <v>944</v>
      </c>
      <c r="Q339" s="15" t="s">
        <v>945</v>
      </c>
      <c r="R339" s="15" t="s">
        <v>32</v>
      </c>
      <c r="S339" s="15" t="s">
        <v>21</v>
      </c>
      <c r="T339" s="16">
        <v>1</v>
      </c>
      <c r="U339" s="17">
        <f t="shared" si="31"/>
        <v>551.39</v>
      </c>
    </row>
    <row r="340" ht="45" customHeight="1" spans="1:21">
      <c r="A340" s="14" t="s">
        <v>26</v>
      </c>
      <c r="B340" s="15" t="s">
        <v>968</v>
      </c>
      <c r="C340" s="15" t="s">
        <v>42</v>
      </c>
      <c r="D340" s="15" t="s">
        <v>969</v>
      </c>
      <c r="E340" s="15" t="s">
        <v>970</v>
      </c>
      <c r="F340" s="16">
        <f t="shared" si="28"/>
        <v>1</v>
      </c>
      <c r="G340" s="15" t="s">
        <v>40</v>
      </c>
      <c r="H340" s="17">
        <v>2806.98</v>
      </c>
      <c r="I340" s="17">
        <f t="shared" si="29"/>
        <v>2530.49247</v>
      </c>
      <c r="J340" s="24">
        <f t="shared" si="32"/>
        <v>2372.34</v>
      </c>
      <c r="K340" s="25">
        <v>0.0985</v>
      </c>
      <c r="L340" s="26">
        <v>0.25</v>
      </c>
      <c r="M340" s="24">
        <v>3163.12</v>
      </c>
      <c r="N340" s="27">
        <f t="shared" si="30"/>
        <v>3163.12</v>
      </c>
      <c r="O340" s="15"/>
      <c r="P340" s="15" t="s">
        <v>944</v>
      </c>
      <c r="Q340" s="15" t="s">
        <v>945</v>
      </c>
      <c r="R340" s="15" t="s">
        <v>32</v>
      </c>
      <c r="S340" s="15" t="s">
        <v>21</v>
      </c>
      <c r="T340" s="16">
        <v>1</v>
      </c>
      <c r="U340" s="17">
        <f t="shared" si="31"/>
        <v>3163.12</v>
      </c>
    </row>
    <row r="341" ht="45" customHeight="1" spans="1:21">
      <c r="A341" s="14" t="s">
        <v>26</v>
      </c>
      <c r="B341" s="15" t="s">
        <v>971</v>
      </c>
      <c r="C341" s="15" t="s">
        <v>28</v>
      </c>
      <c r="D341" s="15" t="s">
        <v>972</v>
      </c>
      <c r="E341" s="15" t="s">
        <v>973</v>
      </c>
      <c r="F341" s="16">
        <f t="shared" si="28"/>
        <v>2</v>
      </c>
      <c r="G341" s="15" t="s">
        <v>40</v>
      </c>
      <c r="H341" s="17">
        <v>1182.96</v>
      </c>
      <c r="I341" s="17">
        <f t="shared" si="29"/>
        <v>1066.4206956</v>
      </c>
      <c r="J341" s="24">
        <f t="shared" si="32"/>
        <v>999.76875</v>
      </c>
      <c r="K341" s="25">
        <v>0.098515</v>
      </c>
      <c r="L341" s="26">
        <v>0.25</v>
      </c>
      <c r="M341" s="24">
        <f>ROUND(I341,2)+(ROUND(I341,2)*L341)</f>
        <v>1333.025</v>
      </c>
      <c r="N341" s="27">
        <f t="shared" si="30"/>
        <v>2666.06</v>
      </c>
      <c r="O341" s="15"/>
      <c r="P341" s="15" t="s">
        <v>944</v>
      </c>
      <c r="Q341" s="15" t="s">
        <v>945</v>
      </c>
      <c r="R341" s="15" t="s">
        <v>32</v>
      </c>
      <c r="S341" s="15" t="s">
        <v>21</v>
      </c>
      <c r="T341" s="16">
        <v>2</v>
      </c>
      <c r="U341" s="17">
        <f t="shared" si="31"/>
        <v>2666.06</v>
      </c>
    </row>
    <row r="342" ht="45" customHeight="1" spans="1:21">
      <c r="A342" s="14" t="s">
        <v>26</v>
      </c>
      <c r="B342" s="15" t="s">
        <v>974</v>
      </c>
      <c r="C342" s="15" t="s">
        <v>42</v>
      </c>
      <c r="D342" s="15" t="s">
        <v>975</v>
      </c>
      <c r="E342" s="15" t="s">
        <v>976</v>
      </c>
      <c r="F342" s="16">
        <f t="shared" ref="F342:F405" si="33">T342</f>
        <v>1</v>
      </c>
      <c r="G342" s="15" t="s">
        <v>40</v>
      </c>
      <c r="H342" s="17">
        <v>3872.12</v>
      </c>
      <c r="I342" s="17">
        <f t="shared" ref="I342:I405" si="34">H342-H342*K342</f>
        <v>3490.70843576</v>
      </c>
      <c r="J342" s="24">
        <f t="shared" si="32"/>
        <v>3272.540625</v>
      </c>
      <c r="K342" s="25">
        <v>0.098502</v>
      </c>
      <c r="L342" s="26">
        <v>0.25</v>
      </c>
      <c r="M342" s="24">
        <f>ROUND(I342,2)+(ROUND(I342,2)*L342)</f>
        <v>4363.3875</v>
      </c>
      <c r="N342" s="27">
        <f t="shared" ref="N342:N405" si="35">ROUND(U342,2)</f>
        <v>4363.39</v>
      </c>
      <c r="O342" s="15"/>
      <c r="P342" s="15" t="s">
        <v>944</v>
      </c>
      <c r="Q342" s="15" t="s">
        <v>945</v>
      </c>
      <c r="R342" s="15" t="s">
        <v>32</v>
      </c>
      <c r="S342" s="15" t="s">
        <v>21</v>
      </c>
      <c r="T342" s="16">
        <v>1</v>
      </c>
      <c r="U342" s="17">
        <f t="shared" ref="U342:U405" si="36">ROUND(M342,2)*T342</f>
        <v>4363.39</v>
      </c>
    </row>
    <row r="343" ht="60" customHeight="1" spans="1:21">
      <c r="A343" s="14" t="s">
        <v>26</v>
      </c>
      <c r="B343" s="15" t="s">
        <v>977</v>
      </c>
      <c r="C343" s="15" t="s">
        <v>28</v>
      </c>
      <c r="D343" s="15" t="s">
        <v>978</v>
      </c>
      <c r="E343" s="15" t="s">
        <v>979</v>
      </c>
      <c r="F343" s="16">
        <f t="shared" si="33"/>
        <v>7</v>
      </c>
      <c r="G343" s="15" t="s">
        <v>40</v>
      </c>
      <c r="H343" s="17">
        <v>116.17</v>
      </c>
      <c r="I343" s="17">
        <f t="shared" si="34"/>
        <v>104.7249316</v>
      </c>
      <c r="J343" s="24">
        <f t="shared" ref="J343:J406" si="37">M343-M343*L343</f>
        <v>98.175</v>
      </c>
      <c r="K343" s="25">
        <v>0.09852</v>
      </c>
      <c r="L343" s="26">
        <v>0.25</v>
      </c>
      <c r="M343" s="24">
        <f>ROUND(I343,2)+(ROUND(I343,2)*L343)</f>
        <v>130.9</v>
      </c>
      <c r="N343" s="27">
        <f t="shared" si="35"/>
        <v>916.3</v>
      </c>
      <c r="O343" s="15"/>
      <c r="P343" s="15" t="s">
        <v>944</v>
      </c>
      <c r="Q343" s="15" t="s">
        <v>945</v>
      </c>
      <c r="R343" s="15" t="s">
        <v>32</v>
      </c>
      <c r="S343" s="15" t="s">
        <v>21</v>
      </c>
      <c r="T343" s="16">
        <v>7</v>
      </c>
      <c r="U343" s="17">
        <f t="shared" si="36"/>
        <v>916.3</v>
      </c>
    </row>
    <row r="344" ht="56.25" customHeight="1" spans="1:21">
      <c r="A344" s="14" t="s">
        <v>26</v>
      </c>
      <c r="B344" s="15" t="s">
        <v>980</v>
      </c>
      <c r="C344" s="15" t="s">
        <v>28</v>
      </c>
      <c r="D344" s="15" t="s">
        <v>981</v>
      </c>
      <c r="E344" s="15" t="s">
        <v>982</v>
      </c>
      <c r="F344" s="16">
        <f t="shared" si="33"/>
        <v>63</v>
      </c>
      <c r="G344" s="15" t="s">
        <v>48</v>
      </c>
      <c r="H344" s="17">
        <v>112.11</v>
      </c>
      <c r="I344" s="17">
        <f t="shared" si="34"/>
        <v>101.067165</v>
      </c>
      <c r="J344" s="24">
        <f t="shared" si="37"/>
        <v>94.7475</v>
      </c>
      <c r="K344" s="25">
        <v>0.0985</v>
      </c>
      <c r="L344" s="26">
        <v>0.25</v>
      </c>
      <c r="M344" s="24">
        <v>126.33</v>
      </c>
      <c r="N344" s="27">
        <f t="shared" si="35"/>
        <v>7958.79</v>
      </c>
      <c r="O344" s="15"/>
      <c r="P344" s="15" t="s">
        <v>944</v>
      </c>
      <c r="Q344" s="15" t="s">
        <v>945</v>
      </c>
      <c r="R344" s="15" t="s">
        <v>32</v>
      </c>
      <c r="S344" s="15" t="s">
        <v>21</v>
      </c>
      <c r="T344" s="16">
        <v>63</v>
      </c>
      <c r="U344" s="17">
        <f t="shared" si="36"/>
        <v>7958.79</v>
      </c>
    </row>
    <row r="345" ht="54.75" customHeight="1" spans="1:21">
      <c r="A345" s="14" t="s">
        <v>26</v>
      </c>
      <c r="B345" s="15" t="s">
        <v>983</v>
      </c>
      <c r="C345" s="15" t="s">
        <v>28</v>
      </c>
      <c r="D345" s="15" t="s">
        <v>984</v>
      </c>
      <c r="E345" s="15" t="s">
        <v>985</v>
      </c>
      <c r="F345" s="16">
        <f t="shared" si="33"/>
        <v>1</v>
      </c>
      <c r="G345" s="15" t="s">
        <v>40</v>
      </c>
      <c r="H345" s="17">
        <v>126.22</v>
      </c>
      <c r="I345" s="17">
        <f t="shared" si="34"/>
        <v>113.781019</v>
      </c>
      <c r="J345" s="24">
        <f t="shared" si="37"/>
        <v>106.66875</v>
      </c>
      <c r="K345" s="25">
        <v>0.09855</v>
      </c>
      <c r="L345" s="26">
        <v>0.25</v>
      </c>
      <c r="M345" s="24">
        <f>ROUND(I345,2)+(ROUND(I345,2)*L345)</f>
        <v>142.225</v>
      </c>
      <c r="N345" s="27">
        <f t="shared" si="35"/>
        <v>142.23</v>
      </c>
      <c r="O345" s="15"/>
      <c r="P345" s="15" t="s">
        <v>944</v>
      </c>
      <c r="Q345" s="15" t="s">
        <v>945</v>
      </c>
      <c r="R345" s="15" t="s">
        <v>32</v>
      </c>
      <c r="S345" s="15" t="s">
        <v>21</v>
      </c>
      <c r="T345" s="16">
        <v>1</v>
      </c>
      <c r="U345" s="17">
        <f t="shared" si="36"/>
        <v>142.23</v>
      </c>
    </row>
    <row r="346" ht="45" customHeight="1" spans="1:21">
      <c r="A346" s="14" t="s">
        <v>26</v>
      </c>
      <c r="B346" s="15" t="s">
        <v>986</v>
      </c>
      <c r="C346" s="15" t="s">
        <v>28</v>
      </c>
      <c r="D346" s="15" t="s">
        <v>987</v>
      </c>
      <c r="E346" s="15" t="s">
        <v>988</v>
      </c>
      <c r="F346" s="16">
        <f t="shared" si="33"/>
        <v>2</v>
      </c>
      <c r="G346" s="15" t="s">
        <v>40</v>
      </c>
      <c r="H346" s="17">
        <v>73.51</v>
      </c>
      <c r="I346" s="17">
        <f t="shared" si="34"/>
        <v>66.269265</v>
      </c>
      <c r="J346" s="24">
        <f t="shared" si="37"/>
        <v>62.1225</v>
      </c>
      <c r="K346" s="25">
        <v>0.0985</v>
      </c>
      <c r="L346" s="26">
        <v>0.25</v>
      </c>
      <c r="M346" s="24">
        <v>82.83</v>
      </c>
      <c r="N346" s="27">
        <f t="shared" si="35"/>
        <v>165.66</v>
      </c>
      <c r="O346" s="15"/>
      <c r="P346" s="15" t="s">
        <v>944</v>
      </c>
      <c r="Q346" s="15" t="s">
        <v>945</v>
      </c>
      <c r="R346" s="15" t="s">
        <v>32</v>
      </c>
      <c r="S346" s="15" t="s">
        <v>21</v>
      </c>
      <c r="T346" s="16">
        <v>2</v>
      </c>
      <c r="U346" s="17">
        <f t="shared" si="36"/>
        <v>165.66</v>
      </c>
    </row>
    <row r="347" ht="45" customHeight="1" spans="1:21">
      <c r="A347" s="14" t="s">
        <v>26</v>
      </c>
      <c r="B347" s="15" t="s">
        <v>989</v>
      </c>
      <c r="C347" s="15" t="s">
        <v>28</v>
      </c>
      <c r="D347" s="15" t="s">
        <v>990</v>
      </c>
      <c r="E347" s="15" t="s">
        <v>991</v>
      </c>
      <c r="F347" s="16">
        <f t="shared" si="33"/>
        <v>4</v>
      </c>
      <c r="G347" s="15" t="s">
        <v>40</v>
      </c>
      <c r="H347" s="17">
        <v>197.3</v>
      </c>
      <c r="I347" s="17">
        <f t="shared" si="34"/>
        <v>177.86595</v>
      </c>
      <c r="J347" s="24">
        <f t="shared" si="37"/>
        <v>166.725</v>
      </c>
      <c r="K347" s="25">
        <v>0.0985</v>
      </c>
      <c r="L347" s="26">
        <v>0.25</v>
      </c>
      <c r="M347" s="24">
        <v>222.3</v>
      </c>
      <c r="N347" s="27">
        <f t="shared" si="35"/>
        <v>889.2</v>
      </c>
      <c r="O347" s="15"/>
      <c r="P347" s="15" t="s">
        <v>944</v>
      </c>
      <c r="Q347" s="15" t="s">
        <v>945</v>
      </c>
      <c r="R347" s="15" t="s">
        <v>32</v>
      </c>
      <c r="S347" s="15" t="s">
        <v>21</v>
      </c>
      <c r="T347" s="16">
        <v>4</v>
      </c>
      <c r="U347" s="17">
        <f t="shared" si="36"/>
        <v>889.2</v>
      </c>
    </row>
    <row r="348" ht="45" customHeight="1" spans="1:21">
      <c r="A348" s="14" t="s">
        <v>26</v>
      </c>
      <c r="B348" s="15" t="s">
        <v>992</v>
      </c>
      <c r="C348" s="15" t="s">
        <v>28</v>
      </c>
      <c r="D348" s="15" t="s">
        <v>993</v>
      </c>
      <c r="E348" s="15" t="s">
        <v>994</v>
      </c>
      <c r="F348" s="16">
        <f t="shared" si="33"/>
        <v>36</v>
      </c>
      <c r="G348" s="15" t="s">
        <v>40</v>
      </c>
      <c r="H348" s="17">
        <v>23.69</v>
      </c>
      <c r="I348" s="17">
        <f t="shared" si="34"/>
        <v>21.356535</v>
      </c>
      <c r="J348" s="24">
        <f t="shared" si="37"/>
        <v>20.0175</v>
      </c>
      <c r="K348" s="25">
        <v>0.0985</v>
      </c>
      <c r="L348" s="26">
        <v>0.25</v>
      </c>
      <c r="M348" s="24">
        <v>26.69</v>
      </c>
      <c r="N348" s="27">
        <f t="shared" si="35"/>
        <v>960.84</v>
      </c>
      <c r="O348" s="15"/>
      <c r="P348" s="15" t="s">
        <v>944</v>
      </c>
      <c r="Q348" s="15" t="s">
        <v>945</v>
      </c>
      <c r="R348" s="15" t="s">
        <v>32</v>
      </c>
      <c r="S348" s="15" t="s">
        <v>21</v>
      </c>
      <c r="T348" s="16">
        <v>36</v>
      </c>
      <c r="U348" s="17">
        <f t="shared" si="36"/>
        <v>960.84</v>
      </c>
    </row>
    <row r="349" ht="45" customHeight="1" spans="1:21">
      <c r="A349" s="14" t="s">
        <v>26</v>
      </c>
      <c r="B349" s="15" t="s">
        <v>995</v>
      </c>
      <c r="C349" s="15" t="s">
        <v>42</v>
      </c>
      <c r="D349" s="15" t="s">
        <v>996</v>
      </c>
      <c r="E349" s="15" t="s">
        <v>997</v>
      </c>
      <c r="F349" s="16">
        <f t="shared" si="33"/>
        <v>34</v>
      </c>
      <c r="G349" s="15" t="s">
        <v>40</v>
      </c>
      <c r="H349" s="17">
        <v>45.4</v>
      </c>
      <c r="I349" s="17">
        <f t="shared" si="34"/>
        <v>40.9281</v>
      </c>
      <c r="J349" s="24">
        <f t="shared" si="37"/>
        <v>38.371875</v>
      </c>
      <c r="K349" s="25">
        <v>0.0985</v>
      </c>
      <c r="L349" s="26">
        <v>0.25</v>
      </c>
      <c r="M349" s="24">
        <f>ROUND(I349,2)+(ROUND(I349,2)*L349)</f>
        <v>51.1625</v>
      </c>
      <c r="N349" s="27">
        <f t="shared" si="35"/>
        <v>1739.44</v>
      </c>
      <c r="O349" s="15"/>
      <c r="P349" s="15" t="s">
        <v>944</v>
      </c>
      <c r="Q349" s="15" t="s">
        <v>945</v>
      </c>
      <c r="R349" s="15" t="s">
        <v>32</v>
      </c>
      <c r="S349" s="15" t="s">
        <v>21</v>
      </c>
      <c r="T349" s="16">
        <v>34</v>
      </c>
      <c r="U349" s="17">
        <f t="shared" si="36"/>
        <v>1739.44</v>
      </c>
    </row>
    <row r="350" ht="45" customHeight="1" spans="1:21">
      <c r="A350" s="14" t="s">
        <v>26</v>
      </c>
      <c r="B350" s="15" t="s">
        <v>998</v>
      </c>
      <c r="C350" s="15" t="s">
        <v>28</v>
      </c>
      <c r="D350" s="15" t="s">
        <v>999</v>
      </c>
      <c r="E350" s="15" t="s">
        <v>1000</v>
      </c>
      <c r="F350" s="16">
        <f t="shared" si="33"/>
        <v>5</v>
      </c>
      <c r="G350" s="15" t="s">
        <v>31</v>
      </c>
      <c r="H350" s="17">
        <v>78.81</v>
      </c>
      <c r="I350" s="17">
        <f t="shared" si="34"/>
        <v>71.047215</v>
      </c>
      <c r="J350" s="24">
        <f t="shared" si="37"/>
        <v>66.5925</v>
      </c>
      <c r="K350" s="25">
        <v>0.0985</v>
      </c>
      <c r="L350" s="26">
        <v>0.25</v>
      </c>
      <c r="M350" s="24">
        <v>88.79</v>
      </c>
      <c r="N350" s="27">
        <f t="shared" si="35"/>
        <v>443.95</v>
      </c>
      <c r="O350" s="15"/>
      <c r="P350" s="15" t="s">
        <v>944</v>
      </c>
      <c r="Q350" s="15" t="s">
        <v>945</v>
      </c>
      <c r="R350" s="15" t="s">
        <v>32</v>
      </c>
      <c r="S350" s="15" t="s">
        <v>21</v>
      </c>
      <c r="T350" s="16">
        <v>5</v>
      </c>
      <c r="U350" s="17">
        <f t="shared" si="36"/>
        <v>443.95</v>
      </c>
    </row>
    <row r="351" ht="45" customHeight="1" spans="1:21">
      <c r="A351" s="14" t="s">
        <v>26</v>
      </c>
      <c r="B351" s="15" t="s">
        <v>1001</v>
      </c>
      <c r="C351" s="15" t="s">
        <v>28</v>
      </c>
      <c r="D351" s="15" t="s">
        <v>1002</v>
      </c>
      <c r="E351" s="15" t="s">
        <v>1003</v>
      </c>
      <c r="F351" s="16">
        <f t="shared" si="33"/>
        <v>66</v>
      </c>
      <c r="G351" s="15" t="s">
        <v>40</v>
      </c>
      <c r="H351" s="17">
        <v>17.41</v>
      </c>
      <c r="I351" s="17">
        <f t="shared" si="34"/>
        <v>15.6949409</v>
      </c>
      <c r="J351" s="24">
        <f t="shared" si="37"/>
        <v>14.709375</v>
      </c>
      <c r="K351" s="25">
        <v>0.09851</v>
      </c>
      <c r="L351" s="26">
        <v>0.25</v>
      </c>
      <c r="M351" s="24">
        <f t="shared" ref="M351:M361" si="38">ROUND(I351,2)+(ROUND(I351,2)*L351)</f>
        <v>19.6125</v>
      </c>
      <c r="N351" s="27">
        <f t="shared" si="35"/>
        <v>1294.26</v>
      </c>
      <c r="O351" s="15"/>
      <c r="P351" s="15" t="s">
        <v>1004</v>
      </c>
      <c r="Q351" s="15" t="s">
        <v>1005</v>
      </c>
      <c r="R351" s="15" t="s">
        <v>32</v>
      </c>
      <c r="S351" s="15" t="s">
        <v>21</v>
      </c>
      <c r="T351" s="16">
        <v>66</v>
      </c>
      <c r="U351" s="17">
        <f t="shared" si="36"/>
        <v>1294.26</v>
      </c>
    </row>
    <row r="352" ht="45" customHeight="1" spans="1:21">
      <c r="A352" s="14" t="s">
        <v>26</v>
      </c>
      <c r="B352" s="15" t="s">
        <v>1006</v>
      </c>
      <c r="C352" s="15" t="s">
        <v>28</v>
      </c>
      <c r="D352" s="15" t="s">
        <v>1007</v>
      </c>
      <c r="E352" s="15" t="s">
        <v>1008</v>
      </c>
      <c r="F352" s="16">
        <f t="shared" si="33"/>
        <v>5</v>
      </c>
      <c r="G352" s="15" t="s">
        <v>40</v>
      </c>
      <c r="H352" s="17">
        <v>18.03</v>
      </c>
      <c r="I352" s="17">
        <f t="shared" si="34"/>
        <v>16.254045</v>
      </c>
      <c r="J352" s="24">
        <f t="shared" si="37"/>
        <v>15.234375</v>
      </c>
      <c r="K352" s="25">
        <v>0.0985</v>
      </c>
      <c r="L352" s="26">
        <v>0.25</v>
      </c>
      <c r="M352" s="24">
        <f t="shared" si="38"/>
        <v>20.3125</v>
      </c>
      <c r="N352" s="27">
        <f t="shared" si="35"/>
        <v>101.55</v>
      </c>
      <c r="O352" s="15"/>
      <c r="P352" s="15" t="s">
        <v>1004</v>
      </c>
      <c r="Q352" s="15" t="s">
        <v>1005</v>
      </c>
      <c r="R352" s="15" t="s">
        <v>32</v>
      </c>
      <c r="S352" s="15" t="s">
        <v>21</v>
      </c>
      <c r="T352" s="16">
        <v>5</v>
      </c>
      <c r="U352" s="17">
        <f t="shared" si="36"/>
        <v>101.55</v>
      </c>
    </row>
    <row r="353" ht="45" customHeight="1" spans="1:21">
      <c r="A353" s="14" t="s">
        <v>26</v>
      </c>
      <c r="B353" s="15" t="s">
        <v>1009</v>
      </c>
      <c r="C353" s="15" t="s">
        <v>28</v>
      </c>
      <c r="D353" s="15" t="s">
        <v>1010</v>
      </c>
      <c r="E353" s="15" t="s">
        <v>1011</v>
      </c>
      <c r="F353" s="16">
        <f t="shared" si="33"/>
        <v>16</v>
      </c>
      <c r="G353" s="15" t="s">
        <v>40</v>
      </c>
      <c r="H353" s="17">
        <v>19.44</v>
      </c>
      <c r="I353" s="17">
        <f t="shared" si="34"/>
        <v>17.50572</v>
      </c>
      <c r="J353" s="24">
        <f t="shared" si="37"/>
        <v>16.415625</v>
      </c>
      <c r="K353" s="25">
        <v>0.0995</v>
      </c>
      <c r="L353" s="26">
        <v>0.25</v>
      </c>
      <c r="M353" s="24">
        <f t="shared" si="38"/>
        <v>21.8875</v>
      </c>
      <c r="N353" s="27">
        <f t="shared" si="35"/>
        <v>350.24</v>
      </c>
      <c r="O353" s="15"/>
      <c r="P353" s="15" t="s">
        <v>1004</v>
      </c>
      <c r="Q353" s="15" t="s">
        <v>1005</v>
      </c>
      <c r="R353" s="15" t="s">
        <v>32</v>
      </c>
      <c r="S353" s="15" t="s">
        <v>21</v>
      </c>
      <c r="T353" s="16">
        <v>16</v>
      </c>
      <c r="U353" s="17">
        <f t="shared" si="36"/>
        <v>350.24</v>
      </c>
    </row>
    <row r="354" ht="45" customHeight="1" spans="1:21">
      <c r="A354" s="14" t="s">
        <v>26</v>
      </c>
      <c r="B354" s="15" t="s">
        <v>1012</v>
      </c>
      <c r="C354" s="15" t="s">
        <v>28</v>
      </c>
      <c r="D354" s="15" t="s">
        <v>1013</v>
      </c>
      <c r="E354" s="15" t="s">
        <v>1014</v>
      </c>
      <c r="F354" s="16">
        <f t="shared" si="33"/>
        <v>1</v>
      </c>
      <c r="G354" s="15" t="s">
        <v>40</v>
      </c>
      <c r="H354" s="17">
        <v>30.26</v>
      </c>
      <c r="I354" s="17">
        <f t="shared" si="34"/>
        <v>27.27939</v>
      </c>
      <c r="J354" s="24">
        <f t="shared" si="37"/>
        <v>25.575</v>
      </c>
      <c r="K354" s="25">
        <v>0.0985</v>
      </c>
      <c r="L354" s="26">
        <v>0.25</v>
      </c>
      <c r="M354" s="24">
        <f t="shared" si="38"/>
        <v>34.1</v>
      </c>
      <c r="N354" s="27">
        <f t="shared" si="35"/>
        <v>34.1</v>
      </c>
      <c r="O354" s="15"/>
      <c r="P354" s="15" t="s">
        <v>1004</v>
      </c>
      <c r="Q354" s="15" t="s">
        <v>1005</v>
      </c>
      <c r="R354" s="15" t="s">
        <v>32</v>
      </c>
      <c r="S354" s="15" t="s">
        <v>21</v>
      </c>
      <c r="T354" s="16">
        <v>1</v>
      </c>
      <c r="U354" s="17">
        <f t="shared" si="36"/>
        <v>34.1</v>
      </c>
    </row>
    <row r="355" ht="45" customHeight="1" spans="1:21">
      <c r="A355" s="14" t="s">
        <v>26</v>
      </c>
      <c r="B355" s="15" t="s">
        <v>1015</v>
      </c>
      <c r="C355" s="15" t="s">
        <v>28</v>
      </c>
      <c r="D355" s="15" t="s">
        <v>1016</v>
      </c>
      <c r="E355" s="15" t="s">
        <v>1017</v>
      </c>
      <c r="F355" s="16">
        <f t="shared" si="33"/>
        <v>2</v>
      </c>
      <c r="G355" s="15" t="s">
        <v>40</v>
      </c>
      <c r="H355" s="17">
        <v>110.8</v>
      </c>
      <c r="I355" s="17">
        <f t="shared" si="34"/>
        <v>99.86958</v>
      </c>
      <c r="J355" s="24">
        <f t="shared" si="37"/>
        <v>93.628125</v>
      </c>
      <c r="K355" s="25">
        <v>0.09865</v>
      </c>
      <c r="L355" s="26">
        <v>0.25</v>
      </c>
      <c r="M355" s="24">
        <f t="shared" si="38"/>
        <v>124.8375</v>
      </c>
      <c r="N355" s="27">
        <f t="shared" si="35"/>
        <v>249.68</v>
      </c>
      <c r="O355" s="15"/>
      <c r="P355" s="15" t="s">
        <v>1004</v>
      </c>
      <c r="Q355" s="15" t="s">
        <v>1005</v>
      </c>
      <c r="R355" s="15" t="s">
        <v>32</v>
      </c>
      <c r="S355" s="15" t="s">
        <v>21</v>
      </c>
      <c r="T355" s="16">
        <v>2</v>
      </c>
      <c r="U355" s="17">
        <f t="shared" si="36"/>
        <v>249.68</v>
      </c>
    </row>
    <row r="356" ht="45" customHeight="1" spans="1:21">
      <c r="A356" s="14" t="s">
        <v>26</v>
      </c>
      <c r="B356" s="15" t="s">
        <v>1018</v>
      </c>
      <c r="C356" s="15" t="s">
        <v>28</v>
      </c>
      <c r="D356" s="15" t="s">
        <v>1019</v>
      </c>
      <c r="E356" s="15" t="s">
        <v>1020</v>
      </c>
      <c r="F356" s="16">
        <f t="shared" si="33"/>
        <v>4</v>
      </c>
      <c r="G356" s="15" t="s">
        <v>40</v>
      </c>
      <c r="H356" s="17">
        <v>119.9</v>
      </c>
      <c r="I356" s="17">
        <f t="shared" si="34"/>
        <v>108.08985</v>
      </c>
      <c r="J356" s="24">
        <f t="shared" si="37"/>
        <v>101.334375</v>
      </c>
      <c r="K356" s="25">
        <v>0.0985</v>
      </c>
      <c r="L356" s="26">
        <v>0.25</v>
      </c>
      <c r="M356" s="24">
        <f t="shared" si="38"/>
        <v>135.1125</v>
      </c>
      <c r="N356" s="27">
        <f t="shared" si="35"/>
        <v>540.44</v>
      </c>
      <c r="O356" s="15"/>
      <c r="P356" s="15" t="s">
        <v>1004</v>
      </c>
      <c r="Q356" s="15" t="s">
        <v>1005</v>
      </c>
      <c r="R356" s="15" t="s">
        <v>32</v>
      </c>
      <c r="S356" s="15" t="s">
        <v>21</v>
      </c>
      <c r="T356" s="16">
        <v>4</v>
      </c>
      <c r="U356" s="17">
        <f t="shared" si="36"/>
        <v>540.44</v>
      </c>
    </row>
    <row r="357" ht="45" customHeight="1" spans="1:21">
      <c r="A357" s="14" t="s">
        <v>26</v>
      </c>
      <c r="B357" s="15" t="s">
        <v>1021</v>
      </c>
      <c r="C357" s="15" t="s">
        <v>28</v>
      </c>
      <c r="D357" s="15" t="s">
        <v>1022</v>
      </c>
      <c r="E357" s="15" t="s">
        <v>1023</v>
      </c>
      <c r="F357" s="16">
        <f t="shared" si="33"/>
        <v>2</v>
      </c>
      <c r="G357" s="15" t="s">
        <v>40</v>
      </c>
      <c r="H357" s="17">
        <v>127.11</v>
      </c>
      <c r="I357" s="17">
        <f t="shared" si="34"/>
        <v>114.5833095</v>
      </c>
      <c r="J357" s="24">
        <f t="shared" si="37"/>
        <v>107.41875</v>
      </c>
      <c r="K357" s="25">
        <v>0.09855</v>
      </c>
      <c r="L357" s="26">
        <v>0.25</v>
      </c>
      <c r="M357" s="24">
        <f t="shared" si="38"/>
        <v>143.225</v>
      </c>
      <c r="N357" s="27">
        <f t="shared" si="35"/>
        <v>286.46</v>
      </c>
      <c r="O357" s="15"/>
      <c r="P357" s="15" t="s">
        <v>1004</v>
      </c>
      <c r="Q357" s="15" t="s">
        <v>1005</v>
      </c>
      <c r="R357" s="15" t="s">
        <v>32</v>
      </c>
      <c r="S357" s="15" t="s">
        <v>21</v>
      </c>
      <c r="T357" s="16">
        <v>2</v>
      </c>
      <c r="U357" s="17">
        <f t="shared" si="36"/>
        <v>286.46</v>
      </c>
    </row>
    <row r="358" ht="45" customHeight="1" spans="1:21">
      <c r="A358" s="14" t="s">
        <v>26</v>
      </c>
      <c r="B358" s="15" t="s">
        <v>1024</v>
      </c>
      <c r="C358" s="15" t="s">
        <v>28</v>
      </c>
      <c r="D358" s="15" t="s">
        <v>1025</v>
      </c>
      <c r="E358" s="15" t="s">
        <v>1026</v>
      </c>
      <c r="F358" s="16">
        <f t="shared" si="33"/>
        <v>2</v>
      </c>
      <c r="G358" s="15" t="s">
        <v>40</v>
      </c>
      <c r="H358" s="17">
        <v>136.67</v>
      </c>
      <c r="I358" s="17">
        <f t="shared" si="34"/>
        <v>123.2039049</v>
      </c>
      <c r="J358" s="24">
        <f t="shared" si="37"/>
        <v>115.5</v>
      </c>
      <c r="K358" s="25">
        <v>0.09853</v>
      </c>
      <c r="L358" s="26">
        <v>0.25</v>
      </c>
      <c r="M358" s="24">
        <f t="shared" si="38"/>
        <v>154</v>
      </c>
      <c r="N358" s="27">
        <f t="shared" si="35"/>
        <v>308</v>
      </c>
      <c r="O358" s="15"/>
      <c r="P358" s="15" t="s">
        <v>1004</v>
      </c>
      <c r="Q358" s="15" t="s">
        <v>1005</v>
      </c>
      <c r="R358" s="15" t="s">
        <v>32</v>
      </c>
      <c r="S358" s="15" t="s">
        <v>21</v>
      </c>
      <c r="T358" s="16">
        <v>2</v>
      </c>
      <c r="U358" s="17">
        <f t="shared" si="36"/>
        <v>308</v>
      </c>
    </row>
    <row r="359" ht="45" customHeight="1" spans="1:21">
      <c r="A359" s="14" t="s">
        <v>26</v>
      </c>
      <c r="B359" s="15" t="s">
        <v>1027</v>
      </c>
      <c r="C359" s="15" t="s">
        <v>28</v>
      </c>
      <c r="D359" s="15" t="s">
        <v>1028</v>
      </c>
      <c r="E359" s="15" t="s">
        <v>1029</v>
      </c>
      <c r="F359" s="16">
        <f t="shared" si="33"/>
        <v>2</v>
      </c>
      <c r="G359" s="15" t="s">
        <v>40</v>
      </c>
      <c r="H359" s="17">
        <v>224.66</v>
      </c>
      <c r="I359" s="17">
        <f t="shared" si="34"/>
        <v>202.5242502</v>
      </c>
      <c r="J359" s="24">
        <f t="shared" si="37"/>
        <v>189.8625</v>
      </c>
      <c r="K359" s="25">
        <v>0.09853</v>
      </c>
      <c r="L359" s="26">
        <v>0.25</v>
      </c>
      <c r="M359" s="24">
        <f t="shared" si="38"/>
        <v>253.15</v>
      </c>
      <c r="N359" s="27">
        <f t="shared" si="35"/>
        <v>506.3</v>
      </c>
      <c r="O359" s="15"/>
      <c r="P359" s="15" t="s">
        <v>1004</v>
      </c>
      <c r="Q359" s="15" t="s">
        <v>1005</v>
      </c>
      <c r="R359" s="15" t="s">
        <v>32</v>
      </c>
      <c r="S359" s="15" t="s">
        <v>21</v>
      </c>
      <c r="T359" s="16">
        <v>2</v>
      </c>
      <c r="U359" s="17">
        <f t="shared" si="36"/>
        <v>506.3</v>
      </c>
    </row>
    <row r="360" ht="45" customHeight="1" spans="1:21">
      <c r="A360" s="14" t="s">
        <v>26</v>
      </c>
      <c r="B360" s="15" t="s">
        <v>1030</v>
      </c>
      <c r="C360" s="15" t="s">
        <v>28</v>
      </c>
      <c r="D360" s="15" t="s">
        <v>1031</v>
      </c>
      <c r="E360" s="15" t="s">
        <v>1032</v>
      </c>
      <c r="F360" s="16">
        <f t="shared" si="33"/>
        <v>2</v>
      </c>
      <c r="G360" s="15" t="s">
        <v>40</v>
      </c>
      <c r="H360" s="17">
        <v>1559.99</v>
      </c>
      <c r="I360" s="17">
        <f t="shared" si="34"/>
        <v>1406.3153851</v>
      </c>
      <c r="J360" s="24">
        <f t="shared" si="37"/>
        <v>1318.425</v>
      </c>
      <c r="K360" s="25">
        <v>0.09851</v>
      </c>
      <c r="L360" s="26">
        <v>0.25</v>
      </c>
      <c r="M360" s="24">
        <f t="shared" si="38"/>
        <v>1757.9</v>
      </c>
      <c r="N360" s="27">
        <f t="shared" si="35"/>
        <v>3515.8</v>
      </c>
      <c r="O360" s="15"/>
      <c r="P360" s="15" t="s">
        <v>1004</v>
      </c>
      <c r="Q360" s="15" t="s">
        <v>1005</v>
      </c>
      <c r="R360" s="15" t="s">
        <v>32</v>
      </c>
      <c r="S360" s="15" t="s">
        <v>21</v>
      </c>
      <c r="T360" s="16">
        <v>2</v>
      </c>
      <c r="U360" s="17">
        <f t="shared" si="36"/>
        <v>3515.8</v>
      </c>
    </row>
    <row r="361" ht="45" customHeight="1" spans="1:21">
      <c r="A361" s="14" t="s">
        <v>26</v>
      </c>
      <c r="B361" s="15" t="s">
        <v>1033</v>
      </c>
      <c r="C361" s="15" t="s">
        <v>42</v>
      </c>
      <c r="D361" s="15" t="s">
        <v>1034</v>
      </c>
      <c r="E361" s="15" t="s">
        <v>1035</v>
      </c>
      <c r="F361" s="16">
        <f t="shared" si="33"/>
        <v>1</v>
      </c>
      <c r="G361" s="15" t="s">
        <v>40</v>
      </c>
      <c r="H361" s="17">
        <v>237.6</v>
      </c>
      <c r="I361" s="17">
        <f t="shared" si="34"/>
        <v>214.194024</v>
      </c>
      <c r="J361" s="24">
        <f t="shared" si="37"/>
        <v>200.803125</v>
      </c>
      <c r="K361" s="25">
        <v>0.09851</v>
      </c>
      <c r="L361" s="26">
        <v>0.25</v>
      </c>
      <c r="M361" s="24">
        <f t="shared" si="38"/>
        <v>267.7375</v>
      </c>
      <c r="N361" s="27">
        <f t="shared" si="35"/>
        <v>267.74</v>
      </c>
      <c r="O361" s="15"/>
      <c r="P361" s="15" t="s">
        <v>1004</v>
      </c>
      <c r="Q361" s="15" t="s">
        <v>1005</v>
      </c>
      <c r="R361" s="15" t="s">
        <v>32</v>
      </c>
      <c r="S361" s="15" t="s">
        <v>21</v>
      </c>
      <c r="T361" s="16">
        <v>1</v>
      </c>
      <c r="U361" s="17">
        <f t="shared" si="36"/>
        <v>267.74</v>
      </c>
    </row>
    <row r="362" ht="45" customHeight="1" spans="1:21">
      <c r="A362" s="14" t="s">
        <v>26</v>
      </c>
      <c r="B362" s="15" t="s">
        <v>1036</v>
      </c>
      <c r="C362" s="15" t="s">
        <v>42</v>
      </c>
      <c r="D362" s="15" t="s">
        <v>1037</v>
      </c>
      <c r="E362" s="15" t="s">
        <v>1038</v>
      </c>
      <c r="F362" s="16">
        <f t="shared" si="33"/>
        <v>5</v>
      </c>
      <c r="G362" s="15" t="s">
        <v>40</v>
      </c>
      <c r="H362" s="17">
        <v>243.97</v>
      </c>
      <c r="I362" s="17">
        <f t="shared" si="34"/>
        <v>219.93431957</v>
      </c>
      <c r="J362" s="24">
        <f t="shared" si="37"/>
        <v>206.19</v>
      </c>
      <c r="K362" s="25">
        <v>0.098519</v>
      </c>
      <c r="L362" s="26">
        <v>0.25</v>
      </c>
      <c r="M362" s="24">
        <v>274.92</v>
      </c>
      <c r="N362" s="27">
        <f t="shared" si="35"/>
        <v>1374.6</v>
      </c>
      <c r="O362" s="15"/>
      <c r="P362" s="15" t="s">
        <v>1004</v>
      </c>
      <c r="Q362" s="15" t="s">
        <v>1005</v>
      </c>
      <c r="R362" s="15" t="s">
        <v>32</v>
      </c>
      <c r="S362" s="15" t="s">
        <v>21</v>
      </c>
      <c r="T362" s="16">
        <v>5</v>
      </c>
      <c r="U362" s="17">
        <f t="shared" si="36"/>
        <v>1374.6</v>
      </c>
    </row>
    <row r="363" ht="45" customHeight="1" spans="1:21">
      <c r="A363" s="14" t="s">
        <v>26</v>
      </c>
      <c r="B363" s="15" t="s">
        <v>1039</v>
      </c>
      <c r="C363" s="15" t="s">
        <v>42</v>
      </c>
      <c r="D363" s="15" t="s">
        <v>1040</v>
      </c>
      <c r="E363" s="15" t="s">
        <v>1041</v>
      </c>
      <c r="F363" s="16">
        <f t="shared" si="33"/>
        <v>40</v>
      </c>
      <c r="G363" s="15" t="s">
        <v>40</v>
      </c>
      <c r="H363" s="17">
        <v>172.2</v>
      </c>
      <c r="I363" s="17">
        <f t="shared" si="34"/>
        <v>155.234856</v>
      </c>
      <c r="J363" s="24">
        <f t="shared" si="37"/>
        <v>145.528125</v>
      </c>
      <c r="K363" s="25">
        <v>0.09852</v>
      </c>
      <c r="L363" s="26">
        <v>0.25</v>
      </c>
      <c r="M363" s="24">
        <f t="shared" ref="M363:M369" si="39">ROUND(I363,2)+(ROUND(I363,2)*L363)</f>
        <v>194.0375</v>
      </c>
      <c r="N363" s="27">
        <f t="shared" si="35"/>
        <v>7761.6</v>
      </c>
      <c r="O363" s="15"/>
      <c r="P363" s="15" t="s">
        <v>1004</v>
      </c>
      <c r="Q363" s="15" t="s">
        <v>1005</v>
      </c>
      <c r="R363" s="15" t="s">
        <v>32</v>
      </c>
      <c r="S363" s="15" t="s">
        <v>21</v>
      </c>
      <c r="T363" s="16">
        <v>40</v>
      </c>
      <c r="U363" s="17">
        <f t="shared" si="36"/>
        <v>7761.6</v>
      </c>
    </row>
    <row r="364" ht="45" customHeight="1" spans="1:21">
      <c r="A364" s="14" t="s">
        <v>26</v>
      </c>
      <c r="B364" s="15" t="s">
        <v>1042</v>
      </c>
      <c r="C364" s="15" t="s">
        <v>42</v>
      </c>
      <c r="D364" s="15" t="s">
        <v>1043</v>
      </c>
      <c r="E364" s="15" t="s">
        <v>1044</v>
      </c>
      <c r="F364" s="16">
        <f t="shared" si="33"/>
        <v>8</v>
      </c>
      <c r="G364" s="15" t="s">
        <v>40</v>
      </c>
      <c r="H364" s="17">
        <v>291.84</v>
      </c>
      <c r="I364" s="17">
        <f t="shared" si="34"/>
        <v>263.09376</v>
      </c>
      <c r="J364" s="24">
        <f t="shared" si="37"/>
        <v>246.646875</v>
      </c>
      <c r="K364" s="25">
        <v>0.0985</v>
      </c>
      <c r="L364" s="26">
        <v>0.25</v>
      </c>
      <c r="M364" s="24">
        <f t="shared" si="39"/>
        <v>328.8625</v>
      </c>
      <c r="N364" s="27">
        <f t="shared" si="35"/>
        <v>2630.88</v>
      </c>
      <c r="O364" s="15"/>
      <c r="P364" s="15" t="s">
        <v>1004</v>
      </c>
      <c r="Q364" s="15" t="s">
        <v>1005</v>
      </c>
      <c r="R364" s="15" t="s">
        <v>32</v>
      </c>
      <c r="S364" s="15" t="s">
        <v>21</v>
      </c>
      <c r="T364" s="16">
        <v>8</v>
      </c>
      <c r="U364" s="17">
        <f t="shared" si="36"/>
        <v>2630.88</v>
      </c>
    </row>
    <row r="365" ht="45" customHeight="1" spans="1:21">
      <c r="A365" s="14" t="s">
        <v>26</v>
      </c>
      <c r="B365" s="15" t="s">
        <v>1045</v>
      </c>
      <c r="C365" s="15" t="s">
        <v>28</v>
      </c>
      <c r="D365" s="15" t="s">
        <v>1046</v>
      </c>
      <c r="E365" s="15" t="s">
        <v>1047</v>
      </c>
      <c r="F365" s="16">
        <f t="shared" si="33"/>
        <v>408.3</v>
      </c>
      <c r="G365" s="15" t="s">
        <v>48</v>
      </c>
      <c r="H365" s="17">
        <v>16.92</v>
      </c>
      <c r="I365" s="17">
        <f t="shared" si="34"/>
        <v>15.25338</v>
      </c>
      <c r="J365" s="24">
        <f t="shared" si="37"/>
        <v>14.296875</v>
      </c>
      <c r="K365" s="25">
        <v>0.0985</v>
      </c>
      <c r="L365" s="26">
        <v>0.25</v>
      </c>
      <c r="M365" s="24">
        <f t="shared" si="39"/>
        <v>19.0625</v>
      </c>
      <c r="N365" s="27">
        <f t="shared" si="35"/>
        <v>7782.2</v>
      </c>
      <c r="O365" s="15"/>
      <c r="P365" s="15" t="s">
        <v>1004</v>
      </c>
      <c r="Q365" s="15" t="s">
        <v>1005</v>
      </c>
      <c r="R365" s="15" t="s">
        <v>32</v>
      </c>
      <c r="S365" s="15" t="s">
        <v>21</v>
      </c>
      <c r="T365" s="16">
        <v>408.3</v>
      </c>
      <c r="U365" s="17">
        <f t="shared" si="36"/>
        <v>7782.198</v>
      </c>
    </row>
    <row r="366" ht="45" customHeight="1" spans="1:21">
      <c r="A366" s="14" t="s">
        <v>26</v>
      </c>
      <c r="B366" s="15" t="s">
        <v>1048</v>
      </c>
      <c r="C366" s="15" t="s">
        <v>28</v>
      </c>
      <c r="D366" s="15" t="s">
        <v>1049</v>
      </c>
      <c r="E366" s="15" t="s">
        <v>1050</v>
      </c>
      <c r="F366" s="16">
        <f t="shared" si="33"/>
        <v>174.4</v>
      </c>
      <c r="G366" s="15" t="s">
        <v>48</v>
      </c>
      <c r="H366" s="17">
        <v>19.8</v>
      </c>
      <c r="I366" s="17">
        <f t="shared" si="34"/>
        <v>17.84376</v>
      </c>
      <c r="J366" s="24">
        <f t="shared" si="37"/>
        <v>16.725</v>
      </c>
      <c r="K366" s="25">
        <v>0.0988</v>
      </c>
      <c r="L366" s="26">
        <v>0.25</v>
      </c>
      <c r="M366" s="24">
        <f t="shared" si="39"/>
        <v>22.3</v>
      </c>
      <c r="N366" s="27">
        <f t="shared" si="35"/>
        <v>3889.12</v>
      </c>
      <c r="O366" s="15"/>
      <c r="P366" s="15" t="s">
        <v>1004</v>
      </c>
      <c r="Q366" s="15" t="s">
        <v>1005</v>
      </c>
      <c r="R366" s="15" t="s">
        <v>32</v>
      </c>
      <c r="S366" s="15" t="s">
        <v>21</v>
      </c>
      <c r="T366" s="16">
        <v>174.4</v>
      </c>
      <c r="U366" s="17">
        <f t="shared" si="36"/>
        <v>3889.12</v>
      </c>
    </row>
    <row r="367" ht="45" customHeight="1" spans="1:21">
      <c r="A367" s="14" t="s">
        <v>26</v>
      </c>
      <c r="B367" s="15" t="s">
        <v>1051</v>
      </c>
      <c r="C367" s="15" t="s">
        <v>28</v>
      </c>
      <c r="D367" s="15" t="s">
        <v>1052</v>
      </c>
      <c r="E367" s="15" t="s">
        <v>1053</v>
      </c>
      <c r="F367" s="16">
        <f t="shared" si="33"/>
        <v>334.9</v>
      </c>
      <c r="G367" s="15" t="s">
        <v>48</v>
      </c>
      <c r="H367" s="17">
        <v>18.81</v>
      </c>
      <c r="I367" s="17">
        <f t="shared" si="34"/>
        <v>16.951572</v>
      </c>
      <c r="J367" s="24">
        <f t="shared" si="37"/>
        <v>15.890625</v>
      </c>
      <c r="K367" s="25">
        <v>0.0988</v>
      </c>
      <c r="L367" s="26">
        <v>0.25</v>
      </c>
      <c r="M367" s="24">
        <f t="shared" si="39"/>
        <v>21.1875</v>
      </c>
      <c r="N367" s="27">
        <f t="shared" si="35"/>
        <v>7096.53</v>
      </c>
      <c r="O367" s="15"/>
      <c r="P367" s="15" t="s">
        <v>1004</v>
      </c>
      <c r="Q367" s="15" t="s">
        <v>1005</v>
      </c>
      <c r="R367" s="15" t="s">
        <v>32</v>
      </c>
      <c r="S367" s="15" t="s">
        <v>21</v>
      </c>
      <c r="T367" s="16">
        <v>334.9</v>
      </c>
      <c r="U367" s="17">
        <f t="shared" si="36"/>
        <v>7096.531</v>
      </c>
    </row>
    <row r="368" ht="45" customHeight="1" spans="1:21">
      <c r="A368" s="14" t="s">
        <v>26</v>
      </c>
      <c r="B368" s="15" t="s">
        <v>1054</v>
      </c>
      <c r="C368" s="15" t="s">
        <v>28</v>
      </c>
      <c r="D368" s="15" t="s">
        <v>1055</v>
      </c>
      <c r="E368" s="15" t="s">
        <v>1056</v>
      </c>
      <c r="F368" s="16">
        <f t="shared" si="33"/>
        <v>10.2</v>
      </c>
      <c r="G368" s="15" t="s">
        <v>48</v>
      </c>
      <c r="H368" s="17">
        <v>28.03</v>
      </c>
      <c r="I368" s="17">
        <f t="shared" si="34"/>
        <v>25.263439</v>
      </c>
      <c r="J368" s="24">
        <f t="shared" si="37"/>
        <v>23.68125</v>
      </c>
      <c r="K368" s="25">
        <v>0.0987</v>
      </c>
      <c r="L368" s="26">
        <v>0.25</v>
      </c>
      <c r="M368" s="24">
        <f t="shared" si="39"/>
        <v>31.575</v>
      </c>
      <c r="N368" s="27">
        <f t="shared" si="35"/>
        <v>322.12</v>
      </c>
      <c r="O368" s="15"/>
      <c r="P368" s="15" t="s">
        <v>1004</v>
      </c>
      <c r="Q368" s="15" t="s">
        <v>1005</v>
      </c>
      <c r="R368" s="15" t="s">
        <v>32</v>
      </c>
      <c r="S368" s="15" t="s">
        <v>21</v>
      </c>
      <c r="T368" s="16">
        <v>10.2</v>
      </c>
      <c r="U368" s="17">
        <f t="shared" si="36"/>
        <v>322.116</v>
      </c>
    </row>
    <row r="369" ht="45" customHeight="1" spans="1:21">
      <c r="A369" s="14" t="s">
        <v>26</v>
      </c>
      <c r="B369" s="15" t="s">
        <v>1057</v>
      </c>
      <c r="C369" s="15" t="s">
        <v>28</v>
      </c>
      <c r="D369" s="15" t="s">
        <v>1058</v>
      </c>
      <c r="E369" s="15" t="s">
        <v>1059</v>
      </c>
      <c r="F369" s="16">
        <f t="shared" si="33"/>
        <v>40</v>
      </c>
      <c r="G369" s="15" t="s">
        <v>48</v>
      </c>
      <c r="H369" s="17">
        <v>48.05</v>
      </c>
      <c r="I369" s="17">
        <f t="shared" si="34"/>
        <v>43.307465</v>
      </c>
      <c r="J369" s="24">
        <f t="shared" si="37"/>
        <v>40.603125</v>
      </c>
      <c r="K369" s="25">
        <v>0.0987</v>
      </c>
      <c r="L369" s="26">
        <v>0.25</v>
      </c>
      <c r="M369" s="24">
        <f t="shared" si="39"/>
        <v>54.1375</v>
      </c>
      <c r="N369" s="27">
        <f t="shared" si="35"/>
        <v>2165.6</v>
      </c>
      <c r="O369" s="15"/>
      <c r="P369" s="15" t="s">
        <v>1004</v>
      </c>
      <c r="Q369" s="15" t="s">
        <v>1005</v>
      </c>
      <c r="R369" s="15" t="s">
        <v>32</v>
      </c>
      <c r="S369" s="15" t="s">
        <v>21</v>
      </c>
      <c r="T369" s="16">
        <v>40</v>
      </c>
      <c r="U369" s="17">
        <f t="shared" si="36"/>
        <v>2165.6</v>
      </c>
    </row>
    <row r="370" ht="45" customHeight="1" spans="1:21">
      <c r="A370" s="14" t="s">
        <v>26</v>
      </c>
      <c r="B370" s="15" t="s">
        <v>1060</v>
      </c>
      <c r="C370" s="15" t="s">
        <v>42</v>
      </c>
      <c r="D370" s="15" t="s">
        <v>1061</v>
      </c>
      <c r="E370" s="15" t="s">
        <v>1062</v>
      </c>
      <c r="F370" s="16">
        <f t="shared" si="33"/>
        <v>29.8</v>
      </c>
      <c r="G370" s="15" t="s">
        <v>40</v>
      </c>
      <c r="H370" s="17">
        <v>28.46</v>
      </c>
      <c r="I370" s="17">
        <f t="shared" si="34"/>
        <v>25.65501086</v>
      </c>
      <c r="J370" s="24">
        <f t="shared" si="37"/>
        <v>24.0525</v>
      </c>
      <c r="K370" s="25">
        <v>0.098559</v>
      </c>
      <c r="L370" s="26">
        <v>0.25</v>
      </c>
      <c r="M370" s="24">
        <v>32.07</v>
      </c>
      <c r="N370" s="27">
        <f t="shared" si="35"/>
        <v>955.69</v>
      </c>
      <c r="O370" s="15"/>
      <c r="P370" s="15" t="s">
        <v>1004</v>
      </c>
      <c r="Q370" s="15" t="s">
        <v>1005</v>
      </c>
      <c r="R370" s="15" t="s">
        <v>32</v>
      </c>
      <c r="S370" s="15" t="s">
        <v>21</v>
      </c>
      <c r="T370" s="16">
        <v>29.8</v>
      </c>
      <c r="U370" s="17">
        <f t="shared" si="36"/>
        <v>955.686</v>
      </c>
    </row>
    <row r="371" ht="45" customHeight="1" spans="1:21">
      <c r="A371" s="14" t="s">
        <v>26</v>
      </c>
      <c r="B371" s="15" t="s">
        <v>1063</v>
      </c>
      <c r="C371" s="15" t="s">
        <v>28</v>
      </c>
      <c r="D371" s="15" t="s">
        <v>1064</v>
      </c>
      <c r="E371" s="15" t="s">
        <v>1065</v>
      </c>
      <c r="F371" s="16">
        <f t="shared" si="33"/>
        <v>11</v>
      </c>
      <c r="G371" s="15" t="s">
        <v>40</v>
      </c>
      <c r="H371" s="17">
        <v>162.43</v>
      </c>
      <c r="I371" s="17">
        <f t="shared" si="34"/>
        <v>146.414402</v>
      </c>
      <c r="J371" s="24">
        <f t="shared" si="37"/>
        <v>137.259375</v>
      </c>
      <c r="K371" s="25">
        <v>0.0986</v>
      </c>
      <c r="L371" s="26">
        <v>0.25</v>
      </c>
      <c r="M371" s="24">
        <f t="shared" ref="M371:M376" si="40">ROUND(I371,2)+(ROUND(I371,2)*L371)</f>
        <v>183.0125</v>
      </c>
      <c r="N371" s="27">
        <f t="shared" si="35"/>
        <v>2013.11</v>
      </c>
      <c r="O371" s="15"/>
      <c r="P371" s="15" t="s">
        <v>1004</v>
      </c>
      <c r="Q371" s="15" t="s">
        <v>1005</v>
      </c>
      <c r="R371" s="15" t="s">
        <v>32</v>
      </c>
      <c r="S371" s="15" t="s">
        <v>21</v>
      </c>
      <c r="T371" s="16">
        <v>11</v>
      </c>
      <c r="U371" s="17">
        <f t="shared" si="36"/>
        <v>2013.11</v>
      </c>
    </row>
    <row r="372" ht="45" customHeight="1" spans="1:21">
      <c r="A372" s="14" t="s">
        <v>26</v>
      </c>
      <c r="B372" s="15" t="s">
        <v>1066</v>
      </c>
      <c r="C372" s="15" t="s">
        <v>28</v>
      </c>
      <c r="D372" s="15" t="s">
        <v>1067</v>
      </c>
      <c r="E372" s="15" t="s">
        <v>1068</v>
      </c>
      <c r="F372" s="16">
        <f t="shared" si="33"/>
        <v>100</v>
      </c>
      <c r="G372" s="15" t="s">
        <v>40</v>
      </c>
      <c r="H372" s="17">
        <v>15.49</v>
      </c>
      <c r="I372" s="17">
        <f t="shared" si="34"/>
        <v>13.945647</v>
      </c>
      <c r="J372" s="24">
        <f t="shared" si="37"/>
        <v>13.078125</v>
      </c>
      <c r="K372" s="25">
        <v>0.0997</v>
      </c>
      <c r="L372" s="26">
        <v>0.25</v>
      </c>
      <c r="M372" s="24">
        <f t="shared" si="40"/>
        <v>17.4375</v>
      </c>
      <c r="N372" s="27">
        <f t="shared" si="35"/>
        <v>1744</v>
      </c>
      <c r="O372" s="15"/>
      <c r="P372" s="15" t="s">
        <v>1004</v>
      </c>
      <c r="Q372" s="15" t="s">
        <v>1005</v>
      </c>
      <c r="R372" s="15" t="s">
        <v>32</v>
      </c>
      <c r="S372" s="15" t="s">
        <v>21</v>
      </c>
      <c r="T372" s="16">
        <v>100</v>
      </c>
      <c r="U372" s="17">
        <f t="shared" si="36"/>
        <v>1744</v>
      </c>
    </row>
    <row r="373" ht="45" customHeight="1" spans="1:21">
      <c r="A373" s="14" t="s">
        <v>26</v>
      </c>
      <c r="B373" s="15" t="s">
        <v>1069</v>
      </c>
      <c r="C373" s="15" t="s">
        <v>28</v>
      </c>
      <c r="D373" s="15" t="s">
        <v>1070</v>
      </c>
      <c r="E373" s="15" t="s">
        <v>1071</v>
      </c>
      <c r="F373" s="16">
        <f t="shared" si="33"/>
        <v>170</v>
      </c>
      <c r="G373" s="15" t="s">
        <v>40</v>
      </c>
      <c r="H373" s="17">
        <v>17.58</v>
      </c>
      <c r="I373" s="17">
        <f t="shared" si="34"/>
        <v>15.83079</v>
      </c>
      <c r="J373" s="24">
        <f t="shared" si="37"/>
        <v>14.840625</v>
      </c>
      <c r="K373" s="25">
        <v>0.0995</v>
      </c>
      <c r="L373" s="26">
        <v>0.25</v>
      </c>
      <c r="M373" s="24">
        <f t="shared" si="40"/>
        <v>19.7875</v>
      </c>
      <c r="N373" s="27">
        <f t="shared" si="35"/>
        <v>3364.3</v>
      </c>
      <c r="O373" s="15"/>
      <c r="P373" s="15" t="s">
        <v>1004</v>
      </c>
      <c r="Q373" s="15" t="s">
        <v>1005</v>
      </c>
      <c r="R373" s="15" t="s">
        <v>32</v>
      </c>
      <c r="S373" s="15" t="s">
        <v>21</v>
      </c>
      <c r="T373" s="16">
        <v>170</v>
      </c>
      <c r="U373" s="17">
        <f t="shared" si="36"/>
        <v>3364.3</v>
      </c>
    </row>
    <row r="374" ht="45" customHeight="1" spans="1:21">
      <c r="A374" s="14" t="s">
        <v>26</v>
      </c>
      <c r="B374" s="15" t="s">
        <v>1072</v>
      </c>
      <c r="C374" s="15" t="s">
        <v>28</v>
      </c>
      <c r="D374" s="15" t="s">
        <v>1073</v>
      </c>
      <c r="E374" s="15" t="s">
        <v>1074</v>
      </c>
      <c r="F374" s="16">
        <f t="shared" si="33"/>
        <v>5871.3</v>
      </c>
      <c r="G374" s="15" t="s">
        <v>48</v>
      </c>
      <c r="H374" s="17">
        <v>3.83</v>
      </c>
      <c r="I374" s="17">
        <f t="shared" si="34"/>
        <v>3.452745</v>
      </c>
      <c r="J374" s="24">
        <f t="shared" si="37"/>
        <v>3.234375</v>
      </c>
      <c r="K374" s="25">
        <v>0.0985</v>
      </c>
      <c r="L374" s="26">
        <v>0.25</v>
      </c>
      <c r="M374" s="24">
        <f t="shared" si="40"/>
        <v>4.3125</v>
      </c>
      <c r="N374" s="27">
        <f t="shared" si="35"/>
        <v>25305.3</v>
      </c>
      <c r="O374" s="15"/>
      <c r="P374" s="15" t="s">
        <v>1004</v>
      </c>
      <c r="Q374" s="15" t="s">
        <v>1005</v>
      </c>
      <c r="R374" s="15" t="s">
        <v>32</v>
      </c>
      <c r="S374" s="15" t="s">
        <v>21</v>
      </c>
      <c r="T374" s="16">
        <v>5871.3</v>
      </c>
      <c r="U374" s="17">
        <f t="shared" si="36"/>
        <v>25305.303</v>
      </c>
    </row>
    <row r="375" ht="45" customHeight="1" spans="1:21">
      <c r="A375" s="14" t="s">
        <v>26</v>
      </c>
      <c r="B375" s="15" t="s">
        <v>1075</v>
      </c>
      <c r="C375" s="15" t="s">
        <v>28</v>
      </c>
      <c r="D375" s="15" t="s">
        <v>1076</v>
      </c>
      <c r="E375" s="15" t="s">
        <v>1077</v>
      </c>
      <c r="F375" s="16">
        <f t="shared" si="33"/>
        <v>253.9</v>
      </c>
      <c r="G375" s="15" t="s">
        <v>48</v>
      </c>
      <c r="H375" s="17">
        <v>5.89</v>
      </c>
      <c r="I375" s="17">
        <f t="shared" si="34"/>
        <v>5.301</v>
      </c>
      <c r="J375" s="24">
        <f t="shared" si="37"/>
        <v>4.96875</v>
      </c>
      <c r="K375" s="25">
        <v>0.1</v>
      </c>
      <c r="L375" s="26">
        <v>0.25</v>
      </c>
      <c r="M375" s="24">
        <f t="shared" si="40"/>
        <v>6.625</v>
      </c>
      <c r="N375" s="27">
        <f t="shared" si="35"/>
        <v>1683.36</v>
      </c>
      <c r="O375" s="15"/>
      <c r="P375" s="15" t="s">
        <v>1004</v>
      </c>
      <c r="Q375" s="15" t="s">
        <v>1005</v>
      </c>
      <c r="R375" s="15" t="s">
        <v>32</v>
      </c>
      <c r="S375" s="15" t="s">
        <v>21</v>
      </c>
      <c r="T375" s="16">
        <v>253.9</v>
      </c>
      <c r="U375" s="17">
        <f t="shared" si="36"/>
        <v>1683.357</v>
      </c>
    </row>
    <row r="376" ht="45" customHeight="1" spans="1:21">
      <c r="A376" s="14" t="s">
        <v>26</v>
      </c>
      <c r="B376" s="15" t="s">
        <v>1078</v>
      </c>
      <c r="C376" s="15" t="s">
        <v>28</v>
      </c>
      <c r="D376" s="15" t="s">
        <v>1079</v>
      </c>
      <c r="E376" s="15" t="s">
        <v>1080</v>
      </c>
      <c r="F376" s="16">
        <f t="shared" si="33"/>
        <v>1472.4</v>
      </c>
      <c r="G376" s="15" t="s">
        <v>48</v>
      </c>
      <c r="H376" s="17">
        <v>8.21</v>
      </c>
      <c r="I376" s="17">
        <f t="shared" si="34"/>
        <v>7.389</v>
      </c>
      <c r="J376" s="24">
        <f t="shared" si="37"/>
        <v>6.928125</v>
      </c>
      <c r="K376" s="25">
        <v>0.1</v>
      </c>
      <c r="L376" s="26">
        <v>0.25</v>
      </c>
      <c r="M376" s="24">
        <f t="shared" si="40"/>
        <v>9.2375</v>
      </c>
      <c r="N376" s="27">
        <f t="shared" si="35"/>
        <v>13604.98</v>
      </c>
      <c r="O376" s="15"/>
      <c r="P376" s="15" t="s">
        <v>1004</v>
      </c>
      <c r="Q376" s="15" t="s">
        <v>1005</v>
      </c>
      <c r="R376" s="15" t="s">
        <v>32</v>
      </c>
      <c r="S376" s="15" t="s">
        <v>21</v>
      </c>
      <c r="T376" s="16">
        <v>1472.4</v>
      </c>
      <c r="U376" s="17">
        <f t="shared" si="36"/>
        <v>13604.976</v>
      </c>
    </row>
    <row r="377" ht="45" customHeight="1" spans="1:21">
      <c r="A377" s="14" t="s">
        <v>26</v>
      </c>
      <c r="B377" s="15" t="s">
        <v>1081</v>
      </c>
      <c r="C377" s="15" t="s">
        <v>28</v>
      </c>
      <c r="D377" s="15" t="s">
        <v>1082</v>
      </c>
      <c r="E377" s="15" t="s">
        <v>1083</v>
      </c>
      <c r="F377" s="16">
        <f t="shared" si="33"/>
        <v>34.5</v>
      </c>
      <c r="G377" s="15" t="s">
        <v>48</v>
      </c>
      <c r="H377" s="17">
        <v>21.13</v>
      </c>
      <c r="I377" s="17">
        <f t="shared" si="34"/>
        <v>19.048695</v>
      </c>
      <c r="J377" s="24">
        <f t="shared" si="37"/>
        <v>17.85</v>
      </c>
      <c r="K377" s="25">
        <v>0.0985</v>
      </c>
      <c r="L377" s="26">
        <v>0.25</v>
      </c>
      <c r="M377" s="24">
        <v>23.8</v>
      </c>
      <c r="N377" s="27">
        <f t="shared" si="35"/>
        <v>821.1</v>
      </c>
      <c r="O377" s="15"/>
      <c r="P377" s="15" t="s">
        <v>1004</v>
      </c>
      <c r="Q377" s="15" t="s">
        <v>1005</v>
      </c>
      <c r="R377" s="15" t="s">
        <v>32</v>
      </c>
      <c r="S377" s="15" t="s">
        <v>21</v>
      </c>
      <c r="T377" s="16">
        <v>34.5</v>
      </c>
      <c r="U377" s="17">
        <f t="shared" si="36"/>
        <v>821.1</v>
      </c>
    </row>
    <row r="378" ht="45" customHeight="1" spans="1:21">
      <c r="A378" s="14" t="s">
        <v>26</v>
      </c>
      <c r="B378" s="15" t="s">
        <v>1084</v>
      </c>
      <c r="C378" s="15" t="s">
        <v>28</v>
      </c>
      <c r="D378" s="15" t="s">
        <v>1085</v>
      </c>
      <c r="E378" s="15" t="s">
        <v>1086</v>
      </c>
      <c r="F378" s="16">
        <f t="shared" si="33"/>
        <v>58.3</v>
      </c>
      <c r="G378" s="15" t="s">
        <v>48</v>
      </c>
      <c r="H378" s="17">
        <v>23.8</v>
      </c>
      <c r="I378" s="17">
        <f t="shared" si="34"/>
        <v>21.44856</v>
      </c>
      <c r="J378" s="24">
        <f t="shared" si="37"/>
        <v>20.109375</v>
      </c>
      <c r="K378" s="25">
        <v>0.0988</v>
      </c>
      <c r="L378" s="26">
        <v>0.25</v>
      </c>
      <c r="M378" s="24">
        <f>ROUND(I378,2)+(ROUND(I378,2)*L378)</f>
        <v>26.8125</v>
      </c>
      <c r="N378" s="27">
        <f t="shared" si="35"/>
        <v>1563.02</v>
      </c>
      <c r="O378" s="15"/>
      <c r="P378" s="15" t="s">
        <v>1004</v>
      </c>
      <c r="Q378" s="15" t="s">
        <v>1005</v>
      </c>
      <c r="R378" s="15" t="s">
        <v>32</v>
      </c>
      <c r="S378" s="15" t="s">
        <v>21</v>
      </c>
      <c r="T378" s="16">
        <v>58.3</v>
      </c>
      <c r="U378" s="17">
        <f t="shared" si="36"/>
        <v>1563.023</v>
      </c>
    </row>
    <row r="379" ht="45" customHeight="1" spans="1:21">
      <c r="A379" s="14" t="s">
        <v>26</v>
      </c>
      <c r="B379" s="15" t="s">
        <v>1087</v>
      </c>
      <c r="C379" s="15" t="s">
        <v>28</v>
      </c>
      <c r="D379" s="15" t="s">
        <v>1088</v>
      </c>
      <c r="E379" s="15" t="s">
        <v>1089</v>
      </c>
      <c r="F379" s="16">
        <f t="shared" si="33"/>
        <v>88.6</v>
      </c>
      <c r="G379" s="15" t="s">
        <v>48</v>
      </c>
      <c r="H379" s="17">
        <v>32.81</v>
      </c>
      <c r="I379" s="17">
        <f t="shared" si="34"/>
        <v>29.5752621</v>
      </c>
      <c r="J379" s="24">
        <f t="shared" si="37"/>
        <v>27.7275</v>
      </c>
      <c r="K379" s="25">
        <v>0.09859</v>
      </c>
      <c r="L379" s="26">
        <v>0.25</v>
      </c>
      <c r="M379" s="24">
        <v>36.97</v>
      </c>
      <c r="N379" s="27">
        <f t="shared" si="35"/>
        <v>3275.54</v>
      </c>
      <c r="O379" s="15"/>
      <c r="P379" s="15" t="s">
        <v>1004</v>
      </c>
      <c r="Q379" s="15" t="s">
        <v>1005</v>
      </c>
      <c r="R379" s="15" t="s">
        <v>32</v>
      </c>
      <c r="S379" s="15" t="s">
        <v>21</v>
      </c>
      <c r="T379" s="16">
        <v>88.6</v>
      </c>
      <c r="U379" s="17">
        <f t="shared" si="36"/>
        <v>3275.542</v>
      </c>
    </row>
    <row r="380" ht="45" customHeight="1" spans="1:21">
      <c r="A380" s="14" t="s">
        <v>26</v>
      </c>
      <c r="B380" s="15" t="s">
        <v>1090</v>
      </c>
      <c r="C380" s="15" t="s">
        <v>28</v>
      </c>
      <c r="D380" s="15" t="s">
        <v>1091</v>
      </c>
      <c r="E380" s="15" t="s">
        <v>1092</v>
      </c>
      <c r="F380" s="16">
        <f t="shared" si="33"/>
        <v>282.8</v>
      </c>
      <c r="G380" s="15" t="s">
        <v>48</v>
      </c>
      <c r="H380" s="17">
        <v>65.69</v>
      </c>
      <c r="I380" s="17">
        <f t="shared" si="34"/>
        <v>59.2155936</v>
      </c>
      <c r="J380" s="24">
        <f t="shared" si="37"/>
        <v>55.515</v>
      </c>
      <c r="K380" s="25">
        <v>0.09856</v>
      </c>
      <c r="L380" s="26">
        <v>0.25</v>
      </c>
      <c r="M380" s="24">
        <v>74.02</v>
      </c>
      <c r="N380" s="27">
        <f t="shared" si="35"/>
        <v>20932.86</v>
      </c>
      <c r="O380" s="15"/>
      <c r="P380" s="15" t="s">
        <v>1004</v>
      </c>
      <c r="Q380" s="15" t="s">
        <v>1005</v>
      </c>
      <c r="R380" s="15" t="s">
        <v>32</v>
      </c>
      <c r="S380" s="15" t="s">
        <v>21</v>
      </c>
      <c r="T380" s="16">
        <v>282.8</v>
      </c>
      <c r="U380" s="17">
        <f t="shared" si="36"/>
        <v>20932.856</v>
      </c>
    </row>
    <row r="381" ht="45" customHeight="1" spans="1:21">
      <c r="A381" s="14" t="s">
        <v>26</v>
      </c>
      <c r="B381" s="15" t="s">
        <v>1093</v>
      </c>
      <c r="C381" s="15" t="s">
        <v>28</v>
      </c>
      <c r="D381" s="15" t="s">
        <v>1094</v>
      </c>
      <c r="E381" s="15" t="s">
        <v>1095</v>
      </c>
      <c r="F381" s="16">
        <f t="shared" si="33"/>
        <v>40</v>
      </c>
      <c r="G381" s="15" t="s">
        <v>48</v>
      </c>
      <c r="H381" s="17">
        <v>80.76</v>
      </c>
      <c r="I381" s="17">
        <f t="shared" si="34"/>
        <v>72.797064</v>
      </c>
      <c r="J381" s="24">
        <f t="shared" si="37"/>
        <v>68.25</v>
      </c>
      <c r="K381" s="25">
        <v>0.0986</v>
      </c>
      <c r="L381" s="26">
        <v>0.25</v>
      </c>
      <c r="M381" s="24">
        <f>ROUND(I381,2)+(ROUND(I381,2)*L381)</f>
        <v>91</v>
      </c>
      <c r="N381" s="27">
        <f t="shared" si="35"/>
        <v>3640</v>
      </c>
      <c r="O381" s="15"/>
      <c r="P381" s="15" t="s">
        <v>1004</v>
      </c>
      <c r="Q381" s="15" t="s">
        <v>1005</v>
      </c>
      <c r="R381" s="15" t="s">
        <v>32</v>
      </c>
      <c r="S381" s="15" t="s">
        <v>21</v>
      </c>
      <c r="T381" s="16">
        <v>40</v>
      </c>
      <c r="U381" s="17">
        <f t="shared" si="36"/>
        <v>3640</v>
      </c>
    </row>
    <row r="382" ht="45" customHeight="1" spans="1:21">
      <c r="A382" s="14" t="s">
        <v>26</v>
      </c>
      <c r="B382" s="15" t="s">
        <v>1096</v>
      </c>
      <c r="C382" s="15" t="s">
        <v>28</v>
      </c>
      <c r="D382" s="15" t="s">
        <v>1097</v>
      </c>
      <c r="E382" s="15" t="s">
        <v>1098</v>
      </c>
      <c r="F382" s="16">
        <f t="shared" si="33"/>
        <v>159.8</v>
      </c>
      <c r="G382" s="15" t="s">
        <v>48</v>
      </c>
      <c r="H382" s="17">
        <v>133.33</v>
      </c>
      <c r="I382" s="17">
        <f t="shared" si="34"/>
        <v>120.196995</v>
      </c>
      <c r="J382" s="24">
        <f t="shared" si="37"/>
        <v>112.68</v>
      </c>
      <c r="K382" s="25">
        <v>0.0985</v>
      </c>
      <c r="L382" s="26">
        <v>0.25</v>
      </c>
      <c r="M382" s="24">
        <v>150.24</v>
      </c>
      <c r="N382" s="27">
        <f t="shared" si="35"/>
        <v>24008.35</v>
      </c>
      <c r="O382" s="15"/>
      <c r="P382" s="15" t="s">
        <v>1004</v>
      </c>
      <c r="Q382" s="15" t="s">
        <v>1005</v>
      </c>
      <c r="R382" s="15" t="s">
        <v>32</v>
      </c>
      <c r="S382" s="15" t="s">
        <v>21</v>
      </c>
      <c r="T382" s="16">
        <v>159.8</v>
      </c>
      <c r="U382" s="17">
        <f t="shared" si="36"/>
        <v>24008.352</v>
      </c>
    </row>
    <row r="383" ht="45" customHeight="1" spans="1:21">
      <c r="A383" s="14" t="s">
        <v>26</v>
      </c>
      <c r="B383" s="15" t="s">
        <v>1099</v>
      </c>
      <c r="C383" s="15" t="s">
        <v>42</v>
      </c>
      <c r="D383" s="15" t="s">
        <v>1100</v>
      </c>
      <c r="E383" s="15" t="s">
        <v>1101</v>
      </c>
      <c r="F383" s="16">
        <f t="shared" si="33"/>
        <v>75.2</v>
      </c>
      <c r="G383" s="15" t="s">
        <v>48</v>
      </c>
      <c r="H383" s="17">
        <v>190.17</v>
      </c>
      <c r="I383" s="17">
        <f t="shared" si="34"/>
        <v>171.4325499</v>
      </c>
      <c r="J383" s="24">
        <f t="shared" si="37"/>
        <v>160.715625</v>
      </c>
      <c r="K383" s="25">
        <v>0.09853</v>
      </c>
      <c r="L383" s="26">
        <v>0.25</v>
      </c>
      <c r="M383" s="24">
        <f>ROUND(I383,2)+(ROUND(I383,2)*L383)</f>
        <v>214.2875</v>
      </c>
      <c r="N383" s="27">
        <f t="shared" si="35"/>
        <v>16114.61</v>
      </c>
      <c r="O383" s="15"/>
      <c r="P383" s="15" t="s">
        <v>1004</v>
      </c>
      <c r="Q383" s="15" t="s">
        <v>1005</v>
      </c>
      <c r="R383" s="15" t="s">
        <v>32</v>
      </c>
      <c r="S383" s="15" t="s">
        <v>21</v>
      </c>
      <c r="T383" s="16">
        <v>75.2</v>
      </c>
      <c r="U383" s="17">
        <f t="shared" si="36"/>
        <v>16114.608</v>
      </c>
    </row>
    <row r="384" ht="45" customHeight="1" spans="1:21">
      <c r="A384" s="14" t="s">
        <v>26</v>
      </c>
      <c r="B384" s="15" t="s">
        <v>1102</v>
      </c>
      <c r="C384" s="15" t="s">
        <v>28</v>
      </c>
      <c r="D384" s="15" t="s">
        <v>1103</v>
      </c>
      <c r="E384" s="15" t="s">
        <v>1104</v>
      </c>
      <c r="F384" s="16">
        <f t="shared" si="33"/>
        <v>75.2</v>
      </c>
      <c r="G384" s="15" t="s">
        <v>48</v>
      </c>
      <c r="H384" s="17">
        <v>21.58</v>
      </c>
      <c r="I384" s="17">
        <f t="shared" si="34"/>
        <v>19.45437</v>
      </c>
      <c r="J384" s="24">
        <f t="shared" si="37"/>
        <v>18.24</v>
      </c>
      <c r="K384" s="25">
        <v>0.0985</v>
      </c>
      <c r="L384" s="26">
        <v>0.25</v>
      </c>
      <c r="M384" s="24">
        <v>24.32</v>
      </c>
      <c r="N384" s="27">
        <f t="shared" si="35"/>
        <v>1828.86</v>
      </c>
      <c r="O384" s="15"/>
      <c r="P384" s="15" t="s">
        <v>1004</v>
      </c>
      <c r="Q384" s="15" t="s">
        <v>1005</v>
      </c>
      <c r="R384" s="15" t="s">
        <v>32</v>
      </c>
      <c r="S384" s="15" t="s">
        <v>21</v>
      </c>
      <c r="T384" s="16">
        <v>75.2</v>
      </c>
      <c r="U384" s="17">
        <f t="shared" si="36"/>
        <v>1828.864</v>
      </c>
    </row>
    <row r="385" ht="45" customHeight="1" spans="1:21">
      <c r="A385" s="14" t="s">
        <v>26</v>
      </c>
      <c r="B385" s="15" t="s">
        <v>1105</v>
      </c>
      <c r="C385" s="15" t="s">
        <v>28</v>
      </c>
      <c r="D385" s="15" t="s">
        <v>1106</v>
      </c>
      <c r="E385" s="15" t="s">
        <v>1107</v>
      </c>
      <c r="F385" s="16">
        <f t="shared" si="33"/>
        <v>95</v>
      </c>
      <c r="G385" s="15" t="s">
        <v>40</v>
      </c>
      <c r="H385" s="17">
        <v>30.02</v>
      </c>
      <c r="I385" s="17">
        <f t="shared" si="34"/>
        <v>27.06303</v>
      </c>
      <c r="J385" s="24">
        <f t="shared" si="37"/>
        <v>25.3575</v>
      </c>
      <c r="K385" s="25">
        <v>0.0985</v>
      </c>
      <c r="L385" s="26">
        <v>0.25</v>
      </c>
      <c r="M385" s="24">
        <v>33.81</v>
      </c>
      <c r="N385" s="27">
        <f t="shared" si="35"/>
        <v>3211.95</v>
      </c>
      <c r="O385" s="15"/>
      <c r="P385" s="15" t="s">
        <v>1004</v>
      </c>
      <c r="Q385" s="15" t="s">
        <v>1005</v>
      </c>
      <c r="R385" s="15" t="s">
        <v>32</v>
      </c>
      <c r="S385" s="15" t="s">
        <v>21</v>
      </c>
      <c r="T385" s="16">
        <v>95</v>
      </c>
      <c r="U385" s="17">
        <f t="shared" si="36"/>
        <v>3211.95</v>
      </c>
    </row>
    <row r="386" ht="45" customHeight="1" spans="1:21">
      <c r="A386" s="14" t="s">
        <v>26</v>
      </c>
      <c r="B386" s="15" t="s">
        <v>1108</v>
      </c>
      <c r="C386" s="15" t="s">
        <v>28</v>
      </c>
      <c r="D386" s="15" t="s">
        <v>1109</v>
      </c>
      <c r="E386" s="15" t="s">
        <v>1110</v>
      </c>
      <c r="F386" s="16">
        <f t="shared" si="33"/>
        <v>23</v>
      </c>
      <c r="G386" s="15" t="s">
        <v>40</v>
      </c>
      <c r="H386" s="17">
        <v>32.09</v>
      </c>
      <c r="I386" s="17">
        <f t="shared" si="34"/>
        <v>28.929135</v>
      </c>
      <c r="J386" s="24">
        <f t="shared" si="37"/>
        <v>27.1125</v>
      </c>
      <c r="K386" s="25">
        <v>0.0985</v>
      </c>
      <c r="L386" s="26">
        <v>0.25</v>
      </c>
      <c r="M386" s="24">
        <v>36.15</v>
      </c>
      <c r="N386" s="27">
        <f t="shared" si="35"/>
        <v>831.45</v>
      </c>
      <c r="O386" s="15"/>
      <c r="P386" s="15" t="s">
        <v>1004</v>
      </c>
      <c r="Q386" s="15" t="s">
        <v>1005</v>
      </c>
      <c r="R386" s="15" t="s">
        <v>32</v>
      </c>
      <c r="S386" s="15" t="s">
        <v>21</v>
      </c>
      <c r="T386" s="16">
        <v>23</v>
      </c>
      <c r="U386" s="17">
        <f t="shared" si="36"/>
        <v>831.45</v>
      </c>
    </row>
    <row r="387" ht="45" customHeight="1" spans="1:21">
      <c r="A387" s="14" t="s">
        <v>26</v>
      </c>
      <c r="B387" s="15" t="s">
        <v>1111</v>
      </c>
      <c r="C387" s="15" t="s">
        <v>28</v>
      </c>
      <c r="D387" s="15" t="s">
        <v>1112</v>
      </c>
      <c r="E387" s="15" t="s">
        <v>1113</v>
      </c>
      <c r="F387" s="16">
        <f t="shared" si="33"/>
        <v>34</v>
      </c>
      <c r="G387" s="15" t="s">
        <v>40</v>
      </c>
      <c r="H387" s="17">
        <v>54.95</v>
      </c>
      <c r="I387" s="17">
        <f t="shared" si="34"/>
        <v>49.537425</v>
      </c>
      <c r="J387" s="24">
        <f t="shared" si="37"/>
        <v>46.44</v>
      </c>
      <c r="K387" s="25">
        <v>0.0985</v>
      </c>
      <c r="L387" s="26">
        <v>0.25</v>
      </c>
      <c r="M387" s="24">
        <v>61.92</v>
      </c>
      <c r="N387" s="27">
        <f t="shared" si="35"/>
        <v>2105.28</v>
      </c>
      <c r="O387" s="15"/>
      <c r="P387" s="15" t="s">
        <v>1004</v>
      </c>
      <c r="Q387" s="15" t="s">
        <v>1005</v>
      </c>
      <c r="R387" s="15" t="s">
        <v>32</v>
      </c>
      <c r="S387" s="15" t="s">
        <v>21</v>
      </c>
      <c r="T387" s="16">
        <v>34</v>
      </c>
      <c r="U387" s="17">
        <f t="shared" si="36"/>
        <v>2105.28</v>
      </c>
    </row>
    <row r="388" ht="45" customHeight="1" spans="1:21">
      <c r="A388" s="14" t="s">
        <v>26</v>
      </c>
      <c r="B388" s="15" t="s">
        <v>1114</v>
      </c>
      <c r="C388" s="15" t="s">
        <v>28</v>
      </c>
      <c r="D388" s="15" t="s">
        <v>1115</v>
      </c>
      <c r="E388" s="15" t="s">
        <v>1116</v>
      </c>
      <c r="F388" s="16">
        <f t="shared" si="33"/>
        <v>3</v>
      </c>
      <c r="G388" s="15" t="s">
        <v>40</v>
      </c>
      <c r="H388" s="17">
        <v>34.83</v>
      </c>
      <c r="I388" s="17">
        <f t="shared" si="34"/>
        <v>31.399245</v>
      </c>
      <c r="J388" s="24">
        <f t="shared" si="37"/>
        <v>29.4375</v>
      </c>
      <c r="K388" s="25">
        <v>0.0985</v>
      </c>
      <c r="L388" s="26">
        <v>0.25</v>
      </c>
      <c r="M388" s="24">
        <f>ROUND(I388,2)+(ROUND(I388,2)*L388)</f>
        <v>39.25</v>
      </c>
      <c r="N388" s="27">
        <f t="shared" si="35"/>
        <v>117.75</v>
      </c>
      <c r="O388" s="15"/>
      <c r="P388" s="15" t="s">
        <v>1004</v>
      </c>
      <c r="Q388" s="15" t="s">
        <v>1005</v>
      </c>
      <c r="R388" s="15" t="s">
        <v>32</v>
      </c>
      <c r="S388" s="15" t="s">
        <v>21</v>
      </c>
      <c r="T388" s="16">
        <v>3</v>
      </c>
      <c r="U388" s="17">
        <f t="shared" si="36"/>
        <v>117.75</v>
      </c>
    </row>
    <row r="389" ht="45" customHeight="1" spans="1:21">
      <c r="A389" s="14" t="s">
        <v>26</v>
      </c>
      <c r="B389" s="15" t="s">
        <v>1117</v>
      </c>
      <c r="C389" s="15" t="s">
        <v>28</v>
      </c>
      <c r="D389" s="15" t="s">
        <v>1118</v>
      </c>
      <c r="E389" s="15" t="s">
        <v>1119</v>
      </c>
      <c r="F389" s="16">
        <f t="shared" si="33"/>
        <v>2</v>
      </c>
      <c r="G389" s="15" t="s">
        <v>40</v>
      </c>
      <c r="H389" s="17">
        <v>76.09</v>
      </c>
      <c r="I389" s="17">
        <f t="shared" si="34"/>
        <v>68.595135</v>
      </c>
      <c r="J389" s="24">
        <f t="shared" si="37"/>
        <v>64.305</v>
      </c>
      <c r="K389" s="25">
        <v>0.0985</v>
      </c>
      <c r="L389" s="26">
        <v>0.25</v>
      </c>
      <c r="M389" s="24">
        <v>85.74</v>
      </c>
      <c r="N389" s="27">
        <f t="shared" si="35"/>
        <v>171.48</v>
      </c>
      <c r="O389" s="15"/>
      <c r="P389" s="15" t="s">
        <v>1004</v>
      </c>
      <c r="Q389" s="15" t="s">
        <v>1005</v>
      </c>
      <c r="R389" s="15" t="s">
        <v>32</v>
      </c>
      <c r="S389" s="15" t="s">
        <v>21</v>
      </c>
      <c r="T389" s="16">
        <v>2</v>
      </c>
      <c r="U389" s="17">
        <f t="shared" si="36"/>
        <v>171.48</v>
      </c>
    </row>
    <row r="390" ht="45" customHeight="1" spans="1:21">
      <c r="A390" s="14" t="s">
        <v>26</v>
      </c>
      <c r="B390" s="15" t="s">
        <v>1120</v>
      </c>
      <c r="C390" s="15" t="s">
        <v>28</v>
      </c>
      <c r="D390" s="15" t="s">
        <v>1121</v>
      </c>
      <c r="E390" s="15" t="s">
        <v>1122</v>
      </c>
      <c r="F390" s="16">
        <f t="shared" si="33"/>
        <v>1</v>
      </c>
      <c r="G390" s="15" t="s">
        <v>40</v>
      </c>
      <c r="H390" s="17">
        <v>58.59</v>
      </c>
      <c r="I390" s="17">
        <f t="shared" si="34"/>
        <v>52.818885</v>
      </c>
      <c r="J390" s="24">
        <f t="shared" si="37"/>
        <v>49.5075</v>
      </c>
      <c r="K390" s="25">
        <v>0.0985</v>
      </c>
      <c r="L390" s="26">
        <v>0.25</v>
      </c>
      <c r="M390" s="24">
        <v>66.01</v>
      </c>
      <c r="N390" s="27">
        <f t="shared" si="35"/>
        <v>66.01</v>
      </c>
      <c r="O390" s="15"/>
      <c r="P390" s="15" t="s">
        <v>1004</v>
      </c>
      <c r="Q390" s="15" t="s">
        <v>1005</v>
      </c>
      <c r="R390" s="15" t="s">
        <v>32</v>
      </c>
      <c r="S390" s="15" t="s">
        <v>21</v>
      </c>
      <c r="T390" s="16">
        <v>1</v>
      </c>
      <c r="U390" s="17">
        <f t="shared" si="36"/>
        <v>66.01</v>
      </c>
    </row>
    <row r="391" ht="45" customHeight="1" spans="1:21">
      <c r="A391" s="14" t="s">
        <v>26</v>
      </c>
      <c r="B391" s="15" t="s">
        <v>1123</v>
      </c>
      <c r="C391" s="15" t="s">
        <v>42</v>
      </c>
      <c r="D391" s="15" t="s">
        <v>1124</v>
      </c>
      <c r="E391" s="15" t="s">
        <v>1125</v>
      </c>
      <c r="F391" s="16">
        <f t="shared" si="33"/>
        <v>10</v>
      </c>
      <c r="G391" s="15" t="s">
        <v>40</v>
      </c>
      <c r="H391" s="17">
        <v>12.85</v>
      </c>
      <c r="I391" s="17">
        <f t="shared" si="34"/>
        <v>11.57528</v>
      </c>
      <c r="J391" s="24">
        <f t="shared" si="37"/>
        <v>10.8525</v>
      </c>
      <c r="K391" s="25">
        <v>0.0992</v>
      </c>
      <c r="L391" s="26">
        <v>0.25</v>
      </c>
      <c r="M391" s="24">
        <v>14.47</v>
      </c>
      <c r="N391" s="27">
        <f t="shared" si="35"/>
        <v>144.7</v>
      </c>
      <c r="O391" s="15"/>
      <c r="P391" s="15" t="s">
        <v>1004</v>
      </c>
      <c r="Q391" s="15" t="s">
        <v>1005</v>
      </c>
      <c r="R391" s="15" t="s">
        <v>32</v>
      </c>
      <c r="S391" s="15" t="s">
        <v>21</v>
      </c>
      <c r="T391" s="16">
        <v>10</v>
      </c>
      <c r="U391" s="17">
        <f t="shared" si="36"/>
        <v>144.7</v>
      </c>
    </row>
    <row r="392" ht="45" customHeight="1" spans="1:21">
      <c r="A392" s="14" t="s">
        <v>26</v>
      </c>
      <c r="B392" s="15" t="s">
        <v>1126</v>
      </c>
      <c r="C392" s="15" t="s">
        <v>28</v>
      </c>
      <c r="D392" s="15" t="s">
        <v>1127</v>
      </c>
      <c r="E392" s="15" t="s">
        <v>1128</v>
      </c>
      <c r="F392" s="16">
        <f t="shared" si="33"/>
        <v>8</v>
      </c>
      <c r="G392" s="15" t="s">
        <v>40</v>
      </c>
      <c r="H392" s="17">
        <v>157.49</v>
      </c>
      <c r="I392" s="17">
        <f t="shared" si="34"/>
        <v>141.977235</v>
      </c>
      <c r="J392" s="24">
        <f t="shared" si="37"/>
        <v>133.095</v>
      </c>
      <c r="K392" s="25">
        <v>0.0985</v>
      </c>
      <c r="L392" s="26">
        <v>0.25</v>
      </c>
      <c r="M392" s="24">
        <v>177.46</v>
      </c>
      <c r="N392" s="27">
        <f t="shared" si="35"/>
        <v>1419.68</v>
      </c>
      <c r="O392" s="15"/>
      <c r="P392" s="15" t="s">
        <v>1004</v>
      </c>
      <c r="Q392" s="15" t="s">
        <v>1005</v>
      </c>
      <c r="R392" s="15" t="s">
        <v>32</v>
      </c>
      <c r="S392" s="15" t="s">
        <v>21</v>
      </c>
      <c r="T392" s="16">
        <v>8</v>
      </c>
      <c r="U392" s="17">
        <f t="shared" si="36"/>
        <v>1419.68</v>
      </c>
    </row>
    <row r="393" ht="45" customHeight="1" spans="1:21">
      <c r="A393" s="14" t="s">
        <v>26</v>
      </c>
      <c r="B393" s="15" t="s">
        <v>1129</v>
      </c>
      <c r="C393" s="15" t="s">
        <v>42</v>
      </c>
      <c r="D393" s="15" t="s">
        <v>1130</v>
      </c>
      <c r="E393" s="15" t="s">
        <v>1131</v>
      </c>
      <c r="F393" s="16">
        <f t="shared" si="33"/>
        <v>11</v>
      </c>
      <c r="G393" s="15" t="s">
        <v>40</v>
      </c>
      <c r="H393" s="17">
        <v>287.92</v>
      </c>
      <c r="I393" s="17">
        <f t="shared" si="34"/>
        <v>259.55988</v>
      </c>
      <c r="J393" s="24">
        <f t="shared" si="37"/>
        <v>243.33</v>
      </c>
      <c r="K393" s="25">
        <v>0.0985</v>
      </c>
      <c r="L393" s="26">
        <v>0.25</v>
      </c>
      <c r="M393" s="24">
        <v>324.44</v>
      </c>
      <c r="N393" s="27">
        <f t="shared" si="35"/>
        <v>3568.84</v>
      </c>
      <c r="O393" s="15"/>
      <c r="P393" s="15" t="s">
        <v>1004</v>
      </c>
      <c r="Q393" s="15" t="s">
        <v>1005</v>
      </c>
      <c r="R393" s="15" t="s">
        <v>32</v>
      </c>
      <c r="S393" s="15" t="s">
        <v>21</v>
      </c>
      <c r="T393" s="16">
        <v>11</v>
      </c>
      <c r="U393" s="17">
        <f t="shared" si="36"/>
        <v>3568.84</v>
      </c>
    </row>
    <row r="394" ht="45" customHeight="1" spans="1:21">
      <c r="A394" s="14" t="s">
        <v>26</v>
      </c>
      <c r="B394" s="15" t="s">
        <v>1132</v>
      </c>
      <c r="C394" s="15" t="s">
        <v>42</v>
      </c>
      <c r="D394" s="15" t="s">
        <v>1133</v>
      </c>
      <c r="E394" s="15" t="s">
        <v>1134</v>
      </c>
      <c r="F394" s="16">
        <f t="shared" si="33"/>
        <v>81</v>
      </c>
      <c r="G394" s="15" t="s">
        <v>40</v>
      </c>
      <c r="H394" s="17">
        <v>315.4</v>
      </c>
      <c r="I394" s="17">
        <f t="shared" si="34"/>
        <v>284.3331</v>
      </c>
      <c r="J394" s="24">
        <f t="shared" si="37"/>
        <v>266.559375</v>
      </c>
      <c r="K394" s="25">
        <v>0.0985</v>
      </c>
      <c r="L394" s="26">
        <v>0.25</v>
      </c>
      <c r="M394" s="24">
        <f>ROUND(I394,2)+(ROUND(I394,2)*L394)</f>
        <v>355.4125</v>
      </c>
      <c r="N394" s="27">
        <f t="shared" si="35"/>
        <v>28788.21</v>
      </c>
      <c r="O394" s="15"/>
      <c r="P394" s="15" t="s">
        <v>1004</v>
      </c>
      <c r="Q394" s="15" t="s">
        <v>1005</v>
      </c>
      <c r="R394" s="15" t="s">
        <v>32</v>
      </c>
      <c r="S394" s="15" t="s">
        <v>21</v>
      </c>
      <c r="T394" s="16">
        <v>81</v>
      </c>
      <c r="U394" s="17">
        <f t="shared" si="36"/>
        <v>28788.21</v>
      </c>
    </row>
    <row r="395" ht="45" customHeight="1" spans="1:21">
      <c r="A395" s="14" t="s">
        <v>26</v>
      </c>
      <c r="B395" s="15" t="s">
        <v>1135</v>
      </c>
      <c r="C395" s="15" t="s">
        <v>42</v>
      </c>
      <c r="D395" s="15" t="s">
        <v>1136</v>
      </c>
      <c r="E395" s="15" t="s">
        <v>1137</v>
      </c>
      <c r="F395" s="16">
        <f t="shared" si="33"/>
        <v>9</v>
      </c>
      <c r="G395" s="15" t="s">
        <v>40</v>
      </c>
      <c r="H395" s="17">
        <v>342.83</v>
      </c>
      <c r="I395" s="17">
        <f t="shared" si="34"/>
        <v>309.061245</v>
      </c>
      <c r="J395" s="24">
        <f t="shared" si="37"/>
        <v>289.74</v>
      </c>
      <c r="K395" s="25">
        <v>0.0985</v>
      </c>
      <c r="L395" s="26">
        <v>0.25</v>
      </c>
      <c r="M395" s="24">
        <v>386.32</v>
      </c>
      <c r="N395" s="27">
        <f t="shared" si="35"/>
        <v>3476.88</v>
      </c>
      <c r="O395" s="15"/>
      <c r="P395" s="15" t="s">
        <v>1004</v>
      </c>
      <c r="Q395" s="15" t="s">
        <v>1005</v>
      </c>
      <c r="R395" s="15" t="s">
        <v>32</v>
      </c>
      <c r="S395" s="15" t="s">
        <v>21</v>
      </c>
      <c r="T395" s="16">
        <v>9</v>
      </c>
      <c r="U395" s="17">
        <f t="shared" si="36"/>
        <v>3476.88</v>
      </c>
    </row>
    <row r="396" ht="45" customHeight="1" spans="1:21">
      <c r="A396" s="14" t="s">
        <v>26</v>
      </c>
      <c r="B396" s="15" t="s">
        <v>1138</v>
      </c>
      <c r="C396" s="15" t="s">
        <v>28</v>
      </c>
      <c r="D396" s="15" t="s">
        <v>1139</v>
      </c>
      <c r="E396" s="15" t="s">
        <v>1140</v>
      </c>
      <c r="F396" s="16">
        <f t="shared" si="33"/>
        <v>4</v>
      </c>
      <c r="G396" s="15" t="s">
        <v>40</v>
      </c>
      <c r="H396" s="17">
        <v>52.98</v>
      </c>
      <c r="I396" s="17">
        <f t="shared" si="34"/>
        <v>47.76147</v>
      </c>
      <c r="J396" s="24">
        <f t="shared" si="37"/>
        <v>44.775</v>
      </c>
      <c r="K396" s="25">
        <v>0.0985</v>
      </c>
      <c r="L396" s="26">
        <v>0.25</v>
      </c>
      <c r="M396" s="24">
        <f>ROUND(I396,2)+(ROUND(I396,2)*L396)</f>
        <v>59.7</v>
      </c>
      <c r="N396" s="27">
        <f t="shared" si="35"/>
        <v>238.8</v>
      </c>
      <c r="O396" s="15"/>
      <c r="P396" s="15" t="s">
        <v>1004</v>
      </c>
      <c r="Q396" s="15" t="s">
        <v>1005</v>
      </c>
      <c r="R396" s="15" t="s">
        <v>32</v>
      </c>
      <c r="S396" s="15" t="s">
        <v>21</v>
      </c>
      <c r="T396" s="16">
        <v>4</v>
      </c>
      <c r="U396" s="17">
        <f t="shared" si="36"/>
        <v>238.8</v>
      </c>
    </row>
    <row r="397" ht="45" customHeight="1" spans="1:21">
      <c r="A397" s="14" t="s">
        <v>26</v>
      </c>
      <c r="B397" s="15" t="s">
        <v>1141</v>
      </c>
      <c r="C397" s="15" t="s">
        <v>28</v>
      </c>
      <c r="D397" s="15" t="s">
        <v>1142</v>
      </c>
      <c r="E397" s="15" t="s">
        <v>1143</v>
      </c>
      <c r="F397" s="16">
        <f t="shared" si="33"/>
        <v>1</v>
      </c>
      <c r="G397" s="15" t="s">
        <v>40</v>
      </c>
      <c r="H397" s="17">
        <v>102.37</v>
      </c>
      <c r="I397" s="17">
        <f t="shared" si="34"/>
        <v>92.286555</v>
      </c>
      <c r="J397" s="24">
        <f t="shared" si="37"/>
        <v>86.5125</v>
      </c>
      <c r="K397" s="25">
        <v>0.0985</v>
      </c>
      <c r="L397" s="26">
        <v>0.25</v>
      </c>
      <c r="M397" s="24">
        <v>115.35</v>
      </c>
      <c r="N397" s="27">
        <f t="shared" si="35"/>
        <v>115.35</v>
      </c>
      <c r="O397" s="15"/>
      <c r="P397" s="15" t="s">
        <v>1004</v>
      </c>
      <c r="Q397" s="15" t="s">
        <v>1005</v>
      </c>
      <c r="R397" s="15" t="s">
        <v>32</v>
      </c>
      <c r="S397" s="15" t="s">
        <v>21</v>
      </c>
      <c r="T397" s="16">
        <v>1</v>
      </c>
      <c r="U397" s="17">
        <f t="shared" si="36"/>
        <v>115.35</v>
      </c>
    </row>
    <row r="398" ht="45" customHeight="1" spans="1:21">
      <c r="A398" s="14" t="s">
        <v>26</v>
      </c>
      <c r="B398" s="15" t="s">
        <v>1144</v>
      </c>
      <c r="C398" s="15" t="s">
        <v>28</v>
      </c>
      <c r="D398" s="15" t="s">
        <v>1145</v>
      </c>
      <c r="E398" s="15" t="s">
        <v>1146</v>
      </c>
      <c r="F398" s="16">
        <f t="shared" si="33"/>
        <v>8</v>
      </c>
      <c r="G398" s="15" t="s">
        <v>40</v>
      </c>
      <c r="H398" s="17">
        <v>120.01</v>
      </c>
      <c r="I398" s="17">
        <f t="shared" si="34"/>
        <v>108.189015</v>
      </c>
      <c r="J398" s="24">
        <f t="shared" si="37"/>
        <v>101.4225</v>
      </c>
      <c r="K398" s="25">
        <v>0.0985</v>
      </c>
      <c r="L398" s="26">
        <v>0.25</v>
      </c>
      <c r="M398" s="24">
        <v>135.23</v>
      </c>
      <c r="N398" s="27">
        <f t="shared" si="35"/>
        <v>1081.84</v>
      </c>
      <c r="O398" s="15"/>
      <c r="P398" s="15" t="s">
        <v>1004</v>
      </c>
      <c r="Q398" s="15" t="s">
        <v>1005</v>
      </c>
      <c r="R398" s="15" t="s">
        <v>32</v>
      </c>
      <c r="S398" s="15" t="s">
        <v>21</v>
      </c>
      <c r="T398" s="16">
        <v>8</v>
      </c>
      <c r="U398" s="17">
        <f t="shared" si="36"/>
        <v>1081.84</v>
      </c>
    </row>
    <row r="399" ht="45" customHeight="1" spans="1:21">
      <c r="A399" s="14" t="s">
        <v>26</v>
      </c>
      <c r="B399" s="15" t="s">
        <v>1147</v>
      </c>
      <c r="C399" s="15" t="s">
        <v>28</v>
      </c>
      <c r="D399" s="15" t="s">
        <v>1148</v>
      </c>
      <c r="E399" s="15" t="s">
        <v>1149</v>
      </c>
      <c r="F399" s="16">
        <f t="shared" si="33"/>
        <v>22.6</v>
      </c>
      <c r="G399" s="15" t="s">
        <v>48</v>
      </c>
      <c r="H399" s="17">
        <v>4.28</v>
      </c>
      <c r="I399" s="17">
        <f t="shared" si="34"/>
        <v>3.85842</v>
      </c>
      <c r="J399" s="24">
        <f t="shared" si="37"/>
        <v>3.615</v>
      </c>
      <c r="K399" s="25">
        <v>0.0985</v>
      </c>
      <c r="L399" s="26">
        <v>0.25</v>
      </c>
      <c r="M399" s="24">
        <v>4.82</v>
      </c>
      <c r="N399" s="27">
        <f t="shared" si="35"/>
        <v>108.93</v>
      </c>
      <c r="O399" s="15"/>
      <c r="P399" s="15" t="s">
        <v>1150</v>
      </c>
      <c r="Q399" s="15" t="s">
        <v>1151</v>
      </c>
      <c r="R399" s="15" t="s">
        <v>32</v>
      </c>
      <c r="S399" s="15" t="s">
        <v>21</v>
      </c>
      <c r="T399" s="16">
        <v>22.6</v>
      </c>
      <c r="U399" s="17">
        <f t="shared" si="36"/>
        <v>108.932</v>
      </c>
    </row>
    <row r="400" ht="45" customHeight="1" spans="1:21">
      <c r="A400" s="14" t="s">
        <v>26</v>
      </c>
      <c r="B400" s="15" t="s">
        <v>1152</v>
      </c>
      <c r="C400" s="15" t="s">
        <v>28</v>
      </c>
      <c r="D400" s="15" t="s">
        <v>1153</v>
      </c>
      <c r="E400" s="15" t="s">
        <v>1154</v>
      </c>
      <c r="F400" s="16">
        <f t="shared" si="33"/>
        <v>132.4</v>
      </c>
      <c r="G400" s="15" t="s">
        <v>48</v>
      </c>
      <c r="H400" s="17">
        <v>6.28</v>
      </c>
      <c r="I400" s="17">
        <f t="shared" si="34"/>
        <v>5.652628</v>
      </c>
      <c r="J400" s="24">
        <f t="shared" si="37"/>
        <v>5.3025</v>
      </c>
      <c r="K400" s="25">
        <v>0.0999</v>
      </c>
      <c r="L400" s="26">
        <v>0.25</v>
      </c>
      <c r="M400" s="24">
        <v>7.07</v>
      </c>
      <c r="N400" s="27">
        <f t="shared" si="35"/>
        <v>936.07</v>
      </c>
      <c r="O400" s="15"/>
      <c r="P400" s="15" t="s">
        <v>1150</v>
      </c>
      <c r="Q400" s="15" t="s">
        <v>1151</v>
      </c>
      <c r="R400" s="15" t="s">
        <v>32</v>
      </c>
      <c r="S400" s="15" t="s">
        <v>21</v>
      </c>
      <c r="T400" s="16">
        <v>132.4</v>
      </c>
      <c r="U400" s="17">
        <f t="shared" si="36"/>
        <v>936.068</v>
      </c>
    </row>
    <row r="401" ht="45" customHeight="1" spans="1:21">
      <c r="A401" s="14" t="s">
        <v>26</v>
      </c>
      <c r="B401" s="15" t="s">
        <v>1155</v>
      </c>
      <c r="C401" s="15" t="s">
        <v>28</v>
      </c>
      <c r="D401" s="15" t="s">
        <v>1156</v>
      </c>
      <c r="E401" s="15" t="s">
        <v>1157</v>
      </c>
      <c r="F401" s="16">
        <f t="shared" si="33"/>
        <v>63.9</v>
      </c>
      <c r="G401" s="15" t="s">
        <v>48</v>
      </c>
      <c r="H401" s="17">
        <v>24.72</v>
      </c>
      <c r="I401" s="17">
        <f t="shared" si="34"/>
        <v>22.28508</v>
      </c>
      <c r="J401" s="24">
        <f t="shared" si="37"/>
        <v>20.8875</v>
      </c>
      <c r="K401" s="25">
        <v>0.0985</v>
      </c>
      <c r="L401" s="26">
        <v>0.25</v>
      </c>
      <c r="M401" s="24">
        <v>27.85</v>
      </c>
      <c r="N401" s="27">
        <f t="shared" si="35"/>
        <v>1779.62</v>
      </c>
      <c r="O401" s="15"/>
      <c r="P401" s="15" t="s">
        <v>1150</v>
      </c>
      <c r="Q401" s="15" t="s">
        <v>1151</v>
      </c>
      <c r="R401" s="15" t="s">
        <v>32</v>
      </c>
      <c r="S401" s="15" t="s">
        <v>21</v>
      </c>
      <c r="T401" s="16">
        <v>63.9</v>
      </c>
      <c r="U401" s="17">
        <f t="shared" si="36"/>
        <v>1779.615</v>
      </c>
    </row>
    <row r="402" ht="45" customHeight="1" spans="1:21">
      <c r="A402" s="14" t="s">
        <v>26</v>
      </c>
      <c r="B402" s="15" t="s">
        <v>1158</v>
      </c>
      <c r="C402" s="15" t="s">
        <v>28</v>
      </c>
      <c r="D402" s="15" t="s">
        <v>1159</v>
      </c>
      <c r="E402" s="15" t="s">
        <v>1160</v>
      </c>
      <c r="F402" s="16">
        <f t="shared" si="33"/>
        <v>12</v>
      </c>
      <c r="G402" s="15" t="s">
        <v>40</v>
      </c>
      <c r="H402" s="17">
        <v>16.5</v>
      </c>
      <c r="I402" s="17">
        <f t="shared" si="34"/>
        <v>14.87475</v>
      </c>
      <c r="J402" s="24">
        <f t="shared" si="37"/>
        <v>13.940625</v>
      </c>
      <c r="K402" s="25">
        <v>0.0985</v>
      </c>
      <c r="L402" s="26">
        <v>0.25</v>
      </c>
      <c r="M402" s="24">
        <f>ROUND(I402,2)+(ROUND(I402,2)*L402)</f>
        <v>18.5875</v>
      </c>
      <c r="N402" s="27">
        <f t="shared" si="35"/>
        <v>223.08</v>
      </c>
      <c r="O402" s="15"/>
      <c r="P402" s="15" t="s">
        <v>1150</v>
      </c>
      <c r="Q402" s="15" t="s">
        <v>1151</v>
      </c>
      <c r="R402" s="15" t="s">
        <v>32</v>
      </c>
      <c r="S402" s="15" t="s">
        <v>21</v>
      </c>
      <c r="T402" s="16">
        <v>12</v>
      </c>
      <c r="U402" s="17">
        <f t="shared" si="36"/>
        <v>223.08</v>
      </c>
    </row>
    <row r="403" ht="45" customHeight="1" spans="1:21">
      <c r="A403" s="14" t="s">
        <v>26</v>
      </c>
      <c r="B403" s="15" t="s">
        <v>1161</v>
      </c>
      <c r="C403" s="15" t="s">
        <v>28</v>
      </c>
      <c r="D403" s="15" t="s">
        <v>1162</v>
      </c>
      <c r="E403" s="15" t="s">
        <v>1163</v>
      </c>
      <c r="F403" s="16">
        <f t="shared" si="33"/>
        <v>14</v>
      </c>
      <c r="G403" s="15" t="s">
        <v>40</v>
      </c>
      <c r="H403" s="17">
        <v>16.44</v>
      </c>
      <c r="I403" s="17">
        <f t="shared" si="34"/>
        <v>14.82066</v>
      </c>
      <c r="J403" s="24">
        <f t="shared" si="37"/>
        <v>13.89</v>
      </c>
      <c r="K403" s="25">
        <v>0.0985</v>
      </c>
      <c r="L403" s="26">
        <v>0.25</v>
      </c>
      <c r="M403" s="24">
        <v>18.52</v>
      </c>
      <c r="N403" s="27">
        <f t="shared" si="35"/>
        <v>259.28</v>
      </c>
      <c r="O403" s="15"/>
      <c r="P403" s="15" t="s">
        <v>1150</v>
      </c>
      <c r="Q403" s="15" t="s">
        <v>1151</v>
      </c>
      <c r="R403" s="15" t="s">
        <v>32</v>
      </c>
      <c r="S403" s="15" t="s">
        <v>21</v>
      </c>
      <c r="T403" s="16">
        <v>14</v>
      </c>
      <c r="U403" s="17">
        <f t="shared" si="36"/>
        <v>259.28</v>
      </c>
    </row>
    <row r="404" ht="45" customHeight="1" spans="1:21">
      <c r="A404" s="14" t="s">
        <v>26</v>
      </c>
      <c r="B404" s="15" t="s">
        <v>1164</v>
      </c>
      <c r="C404" s="15" t="s">
        <v>28</v>
      </c>
      <c r="D404" s="15" t="s">
        <v>1165</v>
      </c>
      <c r="E404" s="15" t="s">
        <v>1166</v>
      </c>
      <c r="F404" s="16">
        <f t="shared" si="33"/>
        <v>3</v>
      </c>
      <c r="G404" s="15" t="s">
        <v>40</v>
      </c>
      <c r="H404" s="17">
        <v>23.5</v>
      </c>
      <c r="I404" s="17">
        <f t="shared" si="34"/>
        <v>21.18525</v>
      </c>
      <c r="J404" s="24">
        <f t="shared" si="37"/>
        <v>19.845</v>
      </c>
      <c r="K404" s="25">
        <v>0.0985</v>
      </c>
      <c r="L404" s="26">
        <v>0.25</v>
      </c>
      <c r="M404" s="24">
        <v>26.46</v>
      </c>
      <c r="N404" s="27">
        <f t="shared" si="35"/>
        <v>79.38</v>
      </c>
      <c r="O404" s="15"/>
      <c r="P404" s="15" t="s">
        <v>1150</v>
      </c>
      <c r="Q404" s="15" t="s">
        <v>1151</v>
      </c>
      <c r="R404" s="15" t="s">
        <v>32</v>
      </c>
      <c r="S404" s="15" t="s">
        <v>21</v>
      </c>
      <c r="T404" s="16">
        <v>3</v>
      </c>
      <c r="U404" s="17">
        <f t="shared" si="36"/>
        <v>79.38</v>
      </c>
    </row>
    <row r="405" ht="45" customHeight="1" spans="1:21">
      <c r="A405" s="14" t="s">
        <v>26</v>
      </c>
      <c r="B405" s="15" t="s">
        <v>1167</v>
      </c>
      <c r="C405" s="15" t="s">
        <v>28</v>
      </c>
      <c r="D405" s="15" t="s">
        <v>1168</v>
      </c>
      <c r="E405" s="15" t="s">
        <v>1169</v>
      </c>
      <c r="F405" s="16">
        <f t="shared" si="33"/>
        <v>3</v>
      </c>
      <c r="G405" s="15" t="s">
        <v>40</v>
      </c>
      <c r="H405" s="17">
        <v>1089.04</v>
      </c>
      <c r="I405" s="17">
        <f t="shared" si="34"/>
        <v>981.76956</v>
      </c>
      <c r="J405" s="24">
        <f t="shared" si="37"/>
        <v>920.3475</v>
      </c>
      <c r="K405" s="25">
        <v>0.0985</v>
      </c>
      <c r="L405" s="26">
        <v>0.25</v>
      </c>
      <c r="M405" s="24">
        <v>1227.13</v>
      </c>
      <c r="N405" s="27">
        <f t="shared" si="35"/>
        <v>3681.39</v>
      </c>
      <c r="O405" s="15"/>
      <c r="P405" s="15" t="s">
        <v>1170</v>
      </c>
      <c r="Q405" s="15" t="s">
        <v>1171</v>
      </c>
      <c r="R405" s="15" t="s">
        <v>32</v>
      </c>
      <c r="S405" s="15" t="s">
        <v>21</v>
      </c>
      <c r="T405" s="16">
        <v>3</v>
      </c>
      <c r="U405" s="17">
        <f t="shared" si="36"/>
        <v>3681.39</v>
      </c>
    </row>
    <row r="406" ht="45" customHeight="1" spans="1:21">
      <c r="A406" s="14" t="s">
        <v>26</v>
      </c>
      <c r="B406" s="15" t="s">
        <v>1172</v>
      </c>
      <c r="C406" s="15" t="s">
        <v>42</v>
      </c>
      <c r="D406" s="15" t="s">
        <v>1173</v>
      </c>
      <c r="E406" s="15" t="s">
        <v>1174</v>
      </c>
      <c r="F406" s="16">
        <f t="shared" ref="F406:F462" si="41">T406</f>
        <v>1</v>
      </c>
      <c r="G406" s="15" t="s">
        <v>40</v>
      </c>
      <c r="H406" s="17">
        <v>2991.65</v>
      </c>
      <c r="I406" s="17">
        <f t="shared" ref="I406:I462" si="42">H406-H406*K406</f>
        <v>2696.972475</v>
      </c>
      <c r="J406" s="24">
        <f t="shared" si="37"/>
        <v>2528.409375</v>
      </c>
      <c r="K406" s="25">
        <v>0.0985</v>
      </c>
      <c r="L406" s="26">
        <v>0.25</v>
      </c>
      <c r="M406" s="24">
        <f>ROUND(I406,2)+(ROUND(I406,2)*L406)</f>
        <v>3371.2125</v>
      </c>
      <c r="N406" s="27">
        <f t="shared" ref="N406:N462" si="43">ROUND(U406,2)</f>
        <v>3371.21</v>
      </c>
      <c r="O406" s="15"/>
      <c r="P406" s="15" t="s">
        <v>1170</v>
      </c>
      <c r="Q406" s="15" t="s">
        <v>1171</v>
      </c>
      <c r="R406" s="15" t="s">
        <v>32</v>
      </c>
      <c r="S406" s="15" t="s">
        <v>21</v>
      </c>
      <c r="T406" s="16">
        <v>1</v>
      </c>
      <c r="U406" s="17">
        <f t="shared" ref="U406:U462" si="44">ROUND(M406,2)*T406</f>
        <v>3371.21</v>
      </c>
    </row>
    <row r="407" ht="45" customHeight="1" spans="1:21">
      <c r="A407" s="14" t="s">
        <v>26</v>
      </c>
      <c r="B407" s="15" t="s">
        <v>1175</v>
      </c>
      <c r="C407" s="15" t="s">
        <v>42</v>
      </c>
      <c r="D407" s="15" t="s">
        <v>1176</v>
      </c>
      <c r="E407" s="15" t="s">
        <v>1177</v>
      </c>
      <c r="F407" s="16">
        <f t="shared" si="41"/>
        <v>19</v>
      </c>
      <c r="G407" s="15" t="s">
        <v>40</v>
      </c>
      <c r="H407" s="17">
        <v>50.96</v>
      </c>
      <c r="I407" s="17">
        <f t="shared" si="42"/>
        <v>45.94044</v>
      </c>
      <c r="J407" s="24">
        <f t="shared" ref="J407:J462" si="45">M407-M407*L407</f>
        <v>43.1025</v>
      </c>
      <c r="K407" s="25">
        <v>0.0985</v>
      </c>
      <c r="L407" s="26">
        <v>0.25</v>
      </c>
      <c r="M407" s="24">
        <v>57.47</v>
      </c>
      <c r="N407" s="27">
        <f t="shared" si="43"/>
        <v>1091.93</v>
      </c>
      <c r="O407" s="15"/>
      <c r="P407" s="15" t="s">
        <v>1170</v>
      </c>
      <c r="Q407" s="15" t="s">
        <v>1171</v>
      </c>
      <c r="R407" s="15" t="s">
        <v>32</v>
      </c>
      <c r="S407" s="15" t="s">
        <v>21</v>
      </c>
      <c r="T407" s="16">
        <v>19</v>
      </c>
      <c r="U407" s="17">
        <f t="shared" si="44"/>
        <v>1091.93</v>
      </c>
    </row>
    <row r="408" ht="45" customHeight="1" spans="1:21">
      <c r="A408" s="14" t="s">
        <v>26</v>
      </c>
      <c r="B408" s="15" t="s">
        <v>1178</v>
      </c>
      <c r="C408" s="15" t="s">
        <v>42</v>
      </c>
      <c r="D408" s="15" t="s">
        <v>1179</v>
      </c>
      <c r="E408" s="15" t="s">
        <v>1180</v>
      </c>
      <c r="F408" s="16">
        <f t="shared" si="41"/>
        <v>3</v>
      </c>
      <c r="G408" s="15" t="s">
        <v>40</v>
      </c>
      <c r="H408" s="17">
        <v>25.46</v>
      </c>
      <c r="I408" s="17">
        <f t="shared" si="42"/>
        <v>22.95219</v>
      </c>
      <c r="J408" s="24">
        <f t="shared" si="45"/>
        <v>21.18</v>
      </c>
      <c r="K408" s="25">
        <v>0.0985</v>
      </c>
      <c r="L408" s="26">
        <v>0.25</v>
      </c>
      <c r="M408" s="24">
        <v>28.24</v>
      </c>
      <c r="N408" s="27">
        <f t="shared" si="43"/>
        <v>84.72</v>
      </c>
      <c r="O408" s="15"/>
      <c r="P408" s="15" t="s">
        <v>1170</v>
      </c>
      <c r="Q408" s="15" t="s">
        <v>1171</v>
      </c>
      <c r="R408" s="15" t="s">
        <v>32</v>
      </c>
      <c r="S408" s="15" t="s">
        <v>21</v>
      </c>
      <c r="T408" s="16">
        <v>3</v>
      </c>
      <c r="U408" s="17">
        <f t="shared" si="44"/>
        <v>84.72</v>
      </c>
    </row>
    <row r="409" ht="45" customHeight="1" spans="1:21">
      <c r="A409" s="14" t="s">
        <v>26</v>
      </c>
      <c r="B409" s="15" t="s">
        <v>1181</v>
      </c>
      <c r="C409" s="15" t="s">
        <v>42</v>
      </c>
      <c r="D409" s="15" t="s">
        <v>1182</v>
      </c>
      <c r="E409" s="15" t="s">
        <v>1183</v>
      </c>
      <c r="F409" s="16">
        <f t="shared" si="41"/>
        <v>2</v>
      </c>
      <c r="G409" s="15" t="s">
        <v>40</v>
      </c>
      <c r="H409" s="17">
        <v>178.8</v>
      </c>
      <c r="I409" s="17">
        <f t="shared" si="42"/>
        <v>161.17926</v>
      </c>
      <c r="J409" s="24">
        <f t="shared" si="45"/>
        <v>151.10625</v>
      </c>
      <c r="K409" s="25">
        <v>0.09855</v>
      </c>
      <c r="L409" s="26">
        <v>0.25</v>
      </c>
      <c r="M409" s="24">
        <f>ROUND(I409,2)+(ROUND(I409,2)*L409)</f>
        <v>201.475</v>
      </c>
      <c r="N409" s="27">
        <f t="shared" si="43"/>
        <v>402.96</v>
      </c>
      <c r="O409" s="15"/>
      <c r="P409" s="15" t="s">
        <v>1170</v>
      </c>
      <c r="Q409" s="15" t="s">
        <v>1171</v>
      </c>
      <c r="R409" s="15" t="s">
        <v>32</v>
      </c>
      <c r="S409" s="15" t="s">
        <v>21</v>
      </c>
      <c r="T409" s="16">
        <v>2</v>
      </c>
      <c r="U409" s="17">
        <f t="shared" si="44"/>
        <v>402.96</v>
      </c>
    </row>
    <row r="410" ht="45" customHeight="1" spans="1:21">
      <c r="A410" s="14" t="s">
        <v>26</v>
      </c>
      <c r="B410" s="15" t="s">
        <v>1184</v>
      </c>
      <c r="C410" s="15" t="s">
        <v>28</v>
      </c>
      <c r="D410" s="15" t="s">
        <v>1185</v>
      </c>
      <c r="E410" s="15" t="s">
        <v>1186</v>
      </c>
      <c r="F410" s="16">
        <f t="shared" si="41"/>
        <v>3</v>
      </c>
      <c r="G410" s="15" t="s">
        <v>40</v>
      </c>
      <c r="H410" s="17">
        <v>1215.03</v>
      </c>
      <c r="I410" s="17">
        <f t="shared" si="42"/>
        <v>1095.349545</v>
      </c>
      <c r="J410" s="24">
        <f t="shared" si="45"/>
        <v>1026.885</v>
      </c>
      <c r="K410" s="25">
        <v>0.0985</v>
      </c>
      <c r="L410" s="26">
        <v>0.25</v>
      </c>
      <c r="M410" s="24">
        <v>1369.18</v>
      </c>
      <c r="N410" s="27">
        <f t="shared" si="43"/>
        <v>4107.54</v>
      </c>
      <c r="O410" s="15"/>
      <c r="P410" s="15" t="s">
        <v>1170</v>
      </c>
      <c r="Q410" s="15" t="s">
        <v>1171</v>
      </c>
      <c r="R410" s="15" t="s">
        <v>32</v>
      </c>
      <c r="S410" s="15" t="s">
        <v>21</v>
      </c>
      <c r="T410" s="16">
        <v>3</v>
      </c>
      <c r="U410" s="17">
        <f t="shared" si="44"/>
        <v>4107.54</v>
      </c>
    </row>
    <row r="411" ht="45" customHeight="1" spans="1:21">
      <c r="A411" s="14" t="s">
        <v>26</v>
      </c>
      <c r="B411" s="15" t="s">
        <v>1187</v>
      </c>
      <c r="C411" s="15" t="s">
        <v>42</v>
      </c>
      <c r="D411" s="15" t="s">
        <v>1188</v>
      </c>
      <c r="E411" s="15" t="s">
        <v>1189</v>
      </c>
      <c r="F411" s="16">
        <f t="shared" si="41"/>
        <v>4</v>
      </c>
      <c r="G411" s="15" t="s">
        <v>40</v>
      </c>
      <c r="H411" s="17">
        <v>30.98</v>
      </c>
      <c r="I411" s="17">
        <f t="shared" si="42"/>
        <v>27.92847</v>
      </c>
      <c r="J411" s="24">
        <f t="shared" si="45"/>
        <v>26.184375</v>
      </c>
      <c r="K411" s="25">
        <v>0.0985</v>
      </c>
      <c r="L411" s="26">
        <v>0.25</v>
      </c>
      <c r="M411" s="24">
        <f>ROUND(I411,2)+(ROUND(I411,2)*L411)</f>
        <v>34.9125</v>
      </c>
      <c r="N411" s="27">
        <f t="shared" si="43"/>
        <v>139.64</v>
      </c>
      <c r="O411" s="15"/>
      <c r="P411" s="15" t="s">
        <v>1170</v>
      </c>
      <c r="Q411" s="15" t="s">
        <v>1171</v>
      </c>
      <c r="R411" s="15" t="s">
        <v>32</v>
      </c>
      <c r="S411" s="15" t="s">
        <v>21</v>
      </c>
      <c r="T411" s="16">
        <v>4</v>
      </c>
      <c r="U411" s="17">
        <f t="shared" si="44"/>
        <v>139.64</v>
      </c>
    </row>
    <row r="412" ht="45" customHeight="1" spans="1:21">
      <c r="A412" s="14" t="s">
        <v>26</v>
      </c>
      <c r="B412" s="15" t="s">
        <v>1190</v>
      </c>
      <c r="C412" s="15" t="s">
        <v>28</v>
      </c>
      <c r="D412" s="15" t="s">
        <v>1064</v>
      </c>
      <c r="E412" s="15" t="s">
        <v>1065</v>
      </c>
      <c r="F412" s="16">
        <f t="shared" si="41"/>
        <v>4</v>
      </c>
      <c r="G412" s="15" t="s">
        <v>40</v>
      </c>
      <c r="H412" s="17">
        <v>162.43</v>
      </c>
      <c r="I412" s="17">
        <f t="shared" si="42"/>
        <v>146.414402</v>
      </c>
      <c r="J412" s="24">
        <f t="shared" si="45"/>
        <v>137.259375</v>
      </c>
      <c r="K412" s="25">
        <v>0.0986</v>
      </c>
      <c r="L412" s="26">
        <v>0.25</v>
      </c>
      <c r="M412" s="24">
        <f>ROUND(I412,2)+(ROUND(I412,2)*L412)</f>
        <v>183.0125</v>
      </c>
      <c r="N412" s="27">
        <f t="shared" si="43"/>
        <v>732.04</v>
      </c>
      <c r="O412" s="15"/>
      <c r="P412" s="15" t="s">
        <v>1170</v>
      </c>
      <c r="Q412" s="15" t="s">
        <v>1171</v>
      </c>
      <c r="R412" s="15" t="s">
        <v>32</v>
      </c>
      <c r="S412" s="15" t="s">
        <v>21</v>
      </c>
      <c r="T412" s="16">
        <v>4</v>
      </c>
      <c r="U412" s="17">
        <f t="shared" si="44"/>
        <v>732.04</v>
      </c>
    </row>
    <row r="413" ht="45" customHeight="1" spans="1:21">
      <c r="A413" s="14" t="s">
        <v>26</v>
      </c>
      <c r="B413" s="15" t="s">
        <v>1191</v>
      </c>
      <c r="C413" s="15" t="s">
        <v>28</v>
      </c>
      <c r="D413" s="15" t="s">
        <v>1070</v>
      </c>
      <c r="E413" s="15" t="s">
        <v>1071</v>
      </c>
      <c r="F413" s="16">
        <f t="shared" si="41"/>
        <v>27</v>
      </c>
      <c r="G413" s="15" t="s">
        <v>40</v>
      </c>
      <c r="H413" s="17">
        <v>17.58</v>
      </c>
      <c r="I413" s="17">
        <f t="shared" si="42"/>
        <v>15.83079</v>
      </c>
      <c r="J413" s="24">
        <f t="shared" si="45"/>
        <v>14.840625</v>
      </c>
      <c r="K413" s="25">
        <v>0.0995</v>
      </c>
      <c r="L413" s="26">
        <v>0.25</v>
      </c>
      <c r="M413" s="24">
        <f>ROUND(I413,2)+(ROUND(I413,2)*L413)</f>
        <v>19.7875</v>
      </c>
      <c r="N413" s="27">
        <f t="shared" si="43"/>
        <v>534.33</v>
      </c>
      <c r="O413" s="15"/>
      <c r="P413" s="15" t="s">
        <v>1170</v>
      </c>
      <c r="Q413" s="15" t="s">
        <v>1171</v>
      </c>
      <c r="R413" s="15" t="s">
        <v>32</v>
      </c>
      <c r="S413" s="15" t="s">
        <v>21</v>
      </c>
      <c r="T413" s="16">
        <v>27</v>
      </c>
      <c r="U413" s="17">
        <f t="shared" si="44"/>
        <v>534.33</v>
      </c>
    </row>
    <row r="414" ht="45" customHeight="1" spans="1:21">
      <c r="A414" s="14" t="s">
        <v>26</v>
      </c>
      <c r="B414" s="15" t="s">
        <v>1192</v>
      </c>
      <c r="C414" s="15" t="s">
        <v>28</v>
      </c>
      <c r="D414" s="15" t="s">
        <v>1193</v>
      </c>
      <c r="E414" s="15" t="s">
        <v>1194</v>
      </c>
      <c r="F414" s="16">
        <f t="shared" si="41"/>
        <v>19</v>
      </c>
      <c r="G414" s="15" t="s">
        <v>40</v>
      </c>
      <c r="H414" s="17">
        <v>44.05</v>
      </c>
      <c r="I414" s="17">
        <f t="shared" si="42"/>
        <v>39.711075</v>
      </c>
      <c r="J414" s="24">
        <f t="shared" si="45"/>
        <v>37.2225</v>
      </c>
      <c r="K414" s="25">
        <v>0.0985</v>
      </c>
      <c r="L414" s="26">
        <v>0.25</v>
      </c>
      <c r="M414" s="24">
        <v>49.63</v>
      </c>
      <c r="N414" s="27">
        <f t="shared" si="43"/>
        <v>942.97</v>
      </c>
      <c r="O414" s="15"/>
      <c r="P414" s="15" t="s">
        <v>1170</v>
      </c>
      <c r="Q414" s="15" t="s">
        <v>1171</v>
      </c>
      <c r="R414" s="15" t="s">
        <v>32</v>
      </c>
      <c r="S414" s="15" t="s">
        <v>21</v>
      </c>
      <c r="T414" s="16">
        <v>19</v>
      </c>
      <c r="U414" s="17">
        <f t="shared" si="44"/>
        <v>942.97</v>
      </c>
    </row>
    <row r="415" ht="45" customHeight="1" spans="1:21">
      <c r="A415" s="14" t="s">
        <v>26</v>
      </c>
      <c r="B415" s="15" t="s">
        <v>1195</v>
      </c>
      <c r="C415" s="15" t="s">
        <v>42</v>
      </c>
      <c r="D415" s="15" t="s">
        <v>1196</v>
      </c>
      <c r="E415" s="15" t="s">
        <v>1197</v>
      </c>
      <c r="F415" s="16">
        <f t="shared" si="41"/>
        <v>8</v>
      </c>
      <c r="G415" s="15" t="s">
        <v>40</v>
      </c>
      <c r="H415" s="17">
        <v>24.98</v>
      </c>
      <c r="I415" s="17">
        <f t="shared" si="42"/>
        <v>22.51947</v>
      </c>
      <c r="J415" s="24">
        <f t="shared" si="45"/>
        <v>21.1125</v>
      </c>
      <c r="K415" s="25">
        <v>0.0985</v>
      </c>
      <c r="L415" s="26">
        <v>0.25</v>
      </c>
      <c r="M415" s="24">
        <f>ROUND(I415,2)+(ROUND(I415,2)*L415)</f>
        <v>28.15</v>
      </c>
      <c r="N415" s="27">
        <f t="shared" si="43"/>
        <v>225.2</v>
      </c>
      <c r="O415" s="15"/>
      <c r="P415" s="15" t="s">
        <v>1170</v>
      </c>
      <c r="Q415" s="15" t="s">
        <v>1171</v>
      </c>
      <c r="R415" s="15" t="s">
        <v>32</v>
      </c>
      <c r="S415" s="15" t="s">
        <v>21</v>
      </c>
      <c r="T415" s="16">
        <v>8</v>
      </c>
      <c r="U415" s="17">
        <f t="shared" si="44"/>
        <v>225.2</v>
      </c>
    </row>
    <row r="416" ht="45" customHeight="1" spans="1:21">
      <c r="A416" s="14" t="s">
        <v>26</v>
      </c>
      <c r="B416" s="15" t="s">
        <v>1198</v>
      </c>
      <c r="C416" s="15" t="s">
        <v>42</v>
      </c>
      <c r="D416" s="15" t="s">
        <v>1199</v>
      </c>
      <c r="E416" s="15" t="s">
        <v>1200</v>
      </c>
      <c r="F416" s="16">
        <f t="shared" si="41"/>
        <v>10</v>
      </c>
      <c r="G416" s="15" t="s">
        <v>40</v>
      </c>
      <c r="H416" s="17">
        <v>18.58</v>
      </c>
      <c r="I416" s="17">
        <f t="shared" si="42"/>
        <v>16.74987</v>
      </c>
      <c r="J416" s="24">
        <f t="shared" si="45"/>
        <v>15.72</v>
      </c>
      <c r="K416" s="25">
        <v>0.0985</v>
      </c>
      <c r="L416" s="26">
        <v>0.25</v>
      </c>
      <c r="M416" s="24">
        <v>20.96</v>
      </c>
      <c r="N416" s="27">
        <f t="shared" si="43"/>
        <v>209.6</v>
      </c>
      <c r="O416" s="15"/>
      <c r="P416" s="15" t="s">
        <v>1170</v>
      </c>
      <c r="Q416" s="15" t="s">
        <v>1171</v>
      </c>
      <c r="R416" s="15" t="s">
        <v>32</v>
      </c>
      <c r="S416" s="15" t="s">
        <v>21</v>
      </c>
      <c r="T416" s="16">
        <v>10</v>
      </c>
      <c r="U416" s="17">
        <f t="shared" si="44"/>
        <v>209.6</v>
      </c>
    </row>
    <row r="417" ht="45" customHeight="1" spans="1:21">
      <c r="A417" s="14" t="s">
        <v>26</v>
      </c>
      <c r="B417" s="15" t="s">
        <v>1201</v>
      </c>
      <c r="C417" s="15" t="s">
        <v>42</v>
      </c>
      <c r="D417" s="15" t="s">
        <v>1202</v>
      </c>
      <c r="E417" s="15" t="s">
        <v>1203</v>
      </c>
      <c r="F417" s="16">
        <f t="shared" si="41"/>
        <v>51.65</v>
      </c>
      <c r="G417" s="15" t="s">
        <v>48</v>
      </c>
      <c r="H417" s="17">
        <v>144.9</v>
      </c>
      <c r="I417" s="17">
        <f t="shared" si="42"/>
        <v>130.624452</v>
      </c>
      <c r="J417" s="24">
        <f t="shared" si="45"/>
        <v>122.45625</v>
      </c>
      <c r="K417" s="25">
        <v>0.09852</v>
      </c>
      <c r="L417" s="26">
        <v>0.25</v>
      </c>
      <c r="M417" s="24">
        <f>ROUND(I417,2)+(ROUND(I417,2)*L417)</f>
        <v>163.275</v>
      </c>
      <c r="N417" s="27">
        <f t="shared" si="43"/>
        <v>8433.41</v>
      </c>
      <c r="O417" s="15"/>
      <c r="P417" s="15" t="s">
        <v>1170</v>
      </c>
      <c r="Q417" s="15" t="s">
        <v>1171</v>
      </c>
      <c r="R417" s="15" t="s">
        <v>32</v>
      </c>
      <c r="S417" s="15" t="s">
        <v>21</v>
      </c>
      <c r="T417" s="16">
        <v>51.65</v>
      </c>
      <c r="U417" s="17">
        <f t="shared" si="44"/>
        <v>8433.412</v>
      </c>
    </row>
    <row r="418" ht="45" customHeight="1" spans="1:21">
      <c r="A418" s="14" t="s">
        <v>26</v>
      </c>
      <c r="B418" s="15" t="s">
        <v>1204</v>
      </c>
      <c r="C418" s="15" t="s">
        <v>28</v>
      </c>
      <c r="D418" s="15" t="s">
        <v>1205</v>
      </c>
      <c r="E418" s="15" t="s">
        <v>1206</v>
      </c>
      <c r="F418" s="16">
        <f t="shared" si="41"/>
        <v>15.2</v>
      </c>
      <c r="G418" s="15" t="s">
        <v>48</v>
      </c>
      <c r="H418" s="17">
        <v>23.51</v>
      </c>
      <c r="I418" s="17">
        <f t="shared" si="42"/>
        <v>21.18251</v>
      </c>
      <c r="J418" s="24">
        <f t="shared" si="45"/>
        <v>19.85625</v>
      </c>
      <c r="K418" s="25">
        <v>0.099</v>
      </c>
      <c r="L418" s="26">
        <v>0.25</v>
      </c>
      <c r="M418" s="24">
        <f>ROUND(I418,2)+(ROUND(I418,2)*L418)</f>
        <v>26.475</v>
      </c>
      <c r="N418" s="27">
        <f t="shared" si="43"/>
        <v>402.5</v>
      </c>
      <c r="O418" s="15"/>
      <c r="P418" s="15" t="s">
        <v>1170</v>
      </c>
      <c r="Q418" s="15" t="s">
        <v>1171</v>
      </c>
      <c r="R418" s="15" t="s">
        <v>32</v>
      </c>
      <c r="S418" s="15" t="s">
        <v>21</v>
      </c>
      <c r="T418" s="16">
        <v>15.2</v>
      </c>
      <c r="U418" s="17">
        <f t="shared" si="44"/>
        <v>402.496</v>
      </c>
    </row>
    <row r="419" ht="45" customHeight="1" spans="1:21">
      <c r="A419" s="14" t="s">
        <v>26</v>
      </c>
      <c r="B419" s="15" t="s">
        <v>1207</v>
      </c>
      <c r="C419" s="15" t="s">
        <v>28</v>
      </c>
      <c r="D419" s="15" t="s">
        <v>1208</v>
      </c>
      <c r="E419" s="15" t="s">
        <v>1209</v>
      </c>
      <c r="F419" s="16">
        <f t="shared" si="41"/>
        <v>112.05</v>
      </c>
      <c r="G419" s="15" t="s">
        <v>48</v>
      </c>
      <c r="H419" s="17">
        <v>18.52</v>
      </c>
      <c r="I419" s="17">
        <f t="shared" si="42"/>
        <v>16.6946688</v>
      </c>
      <c r="J419" s="24">
        <f t="shared" si="45"/>
        <v>15.646875</v>
      </c>
      <c r="K419" s="25">
        <v>0.09856</v>
      </c>
      <c r="L419" s="26">
        <v>0.25</v>
      </c>
      <c r="M419" s="24">
        <f>ROUND(I419,2)+(ROUND(I419,2)*L419)</f>
        <v>20.8625</v>
      </c>
      <c r="N419" s="27">
        <f t="shared" si="43"/>
        <v>2337.36</v>
      </c>
      <c r="O419" s="15"/>
      <c r="P419" s="15" t="s">
        <v>1170</v>
      </c>
      <c r="Q419" s="15" t="s">
        <v>1171</v>
      </c>
      <c r="R419" s="15" t="s">
        <v>32</v>
      </c>
      <c r="S419" s="15" t="s">
        <v>21</v>
      </c>
      <c r="T419" s="16">
        <v>112.05</v>
      </c>
      <c r="U419" s="17">
        <f t="shared" si="44"/>
        <v>2337.363</v>
      </c>
    </row>
    <row r="420" ht="45" customHeight="1" spans="1:21">
      <c r="A420" s="14" t="s">
        <v>26</v>
      </c>
      <c r="B420" s="15" t="s">
        <v>1210</v>
      </c>
      <c r="C420" s="15" t="s">
        <v>28</v>
      </c>
      <c r="D420" s="15" t="s">
        <v>1211</v>
      </c>
      <c r="E420" s="15" t="s">
        <v>1212</v>
      </c>
      <c r="F420" s="16">
        <f t="shared" si="41"/>
        <v>4.8</v>
      </c>
      <c r="G420" s="15" t="s">
        <v>48</v>
      </c>
      <c r="H420" s="17">
        <v>19.2</v>
      </c>
      <c r="I420" s="17">
        <f t="shared" si="42"/>
        <v>17.30496</v>
      </c>
      <c r="J420" s="24">
        <f t="shared" si="45"/>
        <v>16.21875</v>
      </c>
      <c r="K420" s="25">
        <v>0.0987</v>
      </c>
      <c r="L420" s="26">
        <v>0.25</v>
      </c>
      <c r="M420" s="24">
        <f>ROUND(I420,2)+(ROUND(I420,2)*L420)</f>
        <v>21.625</v>
      </c>
      <c r="N420" s="27">
        <f t="shared" si="43"/>
        <v>103.82</v>
      </c>
      <c r="O420" s="15"/>
      <c r="P420" s="15" t="s">
        <v>1170</v>
      </c>
      <c r="Q420" s="15" t="s">
        <v>1171</v>
      </c>
      <c r="R420" s="15" t="s">
        <v>32</v>
      </c>
      <c r="S420" s="15" t="s">
        <v>21</v>
      </c>
      <c r="T420" s="16">
        <v>4.8</v>
      </c>
      <c r="U420" s="17">
        <f t="shared" si="44"/>
        <v>103.824</v>
      </c>
    </row>
    <row r="421" ht="45" customHeight="1" spans="1:21">
      <c r="A421" s="14" t="s">
        <v>26</v>
      </c>
      <c r="B421" s="15" t="s">
        <v>1213</v>
      </c>
      <c r="C421" s="15" t="s">
        <v>42</v>
      </c>
      <c r="D421" s="15" t="s">
        <v>1214</v>
      </c>
      <c r="E421" s="15" t="s">
        <v>1215</v>
      </c>
      <c r="F421" s="16">
        <f t="shared" si="41"/>
        <v>4</v>
      </c>
      <c r="G421" s="15" t="s">
        <v>40</v>
      </c>
      <c r="H421" s="17">
        <v>15.8</v>
      </c>
      <c r="I421" s="17">
        <f t="shared" si="42"/>
        <v>14.2437</v>
      </c>
      <c r="J421" s="24">
        <f t="shared" si="45"/>
        <v>13.35</v>
      </c>
      <c r="K421" s="25">
        <v>0.0985</v>
      </c>
      <c r="L421" s="26">
        <v>0.25</v>
      </c>
      <c r="M421" s="24">
        <f>ROUND(I421,2)+(ROUND(I421,2)*L421)</f>
        <v>17.8</v>
      </c>
      <c r="N421" s="27">
        <f t="shared" si="43"/>
        <v>71.2</v>
      </c>
      <c r="O421" s="15"/>
      <c r="P421" s="15" t="s">
        <v>1170</v>
      </c>
      <c r="Q421" s="15" t="s">
        <v>1171</v>
      </c>
      <c r="R421" s="15" t="s">
        <v>32</v>
      </c>
      <c r="S421" s="15" t="s">
        <v>21</v>
      </c>
      <c r="T421" s="16">
        <v>4</v>
      </c>
      <c r="U421" s="17">
        <f t="shared" si="44"/>
        <v>71.2</v>
      </c>
    </row>
    <row r="422" ht="45" customHeight="1" spans="1:21">
      <c r="A422" s="14" t="s">
        <v>26</v>
      </c>
      <c r="B422" s="15" t="s">
        <v>1216</v>
      </c>
      <c r="C422" s="15" t="s">
        <v>42</v>
      </c>
      <c r="D422" s="15" t="s">
        <v>1217</v>
      </c>
      <c r="E422" s="15" t="s">
        <v>1218</v>
      </c>
      <c r="F422" s="16">
        <f t="shared" si="41"/>
        <v>55.2</v>
      </c>
      <c r="G422" s="15" t="s">
        <v>48</v>
      </c>
      <c r="H422" s="17">
        <v>31.97</v>
      </c>
      <c r="I422" s="17">
        <f t="shared" si="42"/>
        <v>28.8148807</v>
      </c>
      <c r="J422" s="24">
        <f t="shared" si="45"/>
        <v>27.015</v>
      </c>
      <c r="K422" s="25">
        <v>0.09869</v>
      </c>
      <c r="L422" s="26">
        <v>0.25</v>
      </c>
      <c r="M422" s="24">
        <v>36.02</v>
      </c>
      <c r="N422" s="27">
        <f t="shared" si="43"/>
        <v>1988.3</v>
      </c>
      <c r="O422" s="15"/>
      <c r="P422" s="15" t="s">
        <v>1170</v>
      </c>
      <c r="Q422" s="15" t="s">
        <v>1171</v>
      </c>
      <c r="R422" s="15" t="s">
        <v>32</v>
      </c>
      <c r="S422" s="15" t="s">
        <v>21</v>
      </c>
      <c r="T422" s="16">
        <v>55.2</v>
      </c>
      <c r="U422" s="17">
        <f t="shared" si="44"/>
        <v>1988.304</v>
      </c>
    </row>
    <row r="423" ht="45" customHeight="1" spans="1:21">
      <c r="A423" s="14" t="s">
        <v>26</v>
      </c>
      <c r="B423" s="15" t="s">
        <v>1219</v>
      </c>
      <c r="C423" s="15" t="s">
        <v>28</v>
      </c>
      <c r="D423" s="15" t="s">
        <v>1220</v>
      </c>
      <c r="E423" s="15" t="s">
        <v>1221</v>
      </c>
      <c r="F423" s="16">
        <f t="shared" si="41"/>
        <v>579</v>
      </c>
      <c r="G423" s="15" t="s">
        <v>48</v>
      </c>
      <c r="H423" s="17">
        <v>7.07</v>
      </c>
      <c r="I423" s="17">
        <f t="shared" si="42"/>
        <v>6.373605</v>
      </c>
      <c r="J423" s="24">
        <f t="shared" si="45"/>
        <v>5.971875</v>
      </c>
      <c r="K423" s="25">
        <v>0.0985</v>
      </c>
      <c r="L423" s="26">
        <v>0.25</v>
      </c>
      <c r="M423" s="24">
        <f>ROUND(I423,2)+(ROUND(I423,2)*L423)</f>
        <v>7.9625</v>
      </c>
      <c r="N423" s="27">
        <f t="shared" si="43"/>
        <v>4608.84</v>
      </c>
      <c r="O423" s="15"/>
      <c r="P423" s="15" t="s">
        <v>1170</v>
      </c>
      <c r="Q423" s="15" t="s">
        <v>1171</v>
      </c>
      <c r="R423" s="15" t="s">
        <v>32</v>
      </c>
      <c r="S423" s="15" t="s">
        <v>21</v>
      </c>
      <c r="T423" s="16">
        <v>579</v>
      </c>
      <c r="U423" s="17">
        <f t="shared" si="44"/>
        <v>4608.84</v>
      </c>
    </row>
    <row r="424" ht="45" customHeight="1" spans="1:21">
      <c r="A424" s="14" t="s">
        <v>26</v>
      </c>
      <c r="B424" s="15" t="s">
        <v>1222</v>
      </c>
      <c r="C424" s="15" t="s">
        <v>28</v>
      </c>
      <c r="D424" s="15" t="s">
        <v>1223</v>
      </c>
      <c r="E424" s="15" t="s">
        <v>1224</v>
      </c>
      <c r="F424" s="16">
        <f t="shared" si="41"/>
        <v>113</v>
      </c>
      <c r="G424" s="15" t="s">
        <v>48</v>
      </c>
      <c r="H424" s="17">
        <v>5.11</v>
      </c>
      <c r="I424" s="17">
        <f t="shared" si="42"/>
        <v>4.606665</v>
      </c>
      <c r="J424" s="24">
        <f t="shared" si="45"/>
        <v>4.321875</v>
      </c>
      <c r="K424" s="25">
        <v>0.0985</v>
      </c>
      <c r="L424" s="26">
        <v>0.25</v>
      </c>
      <c r="M424" s="24">
        <f>ROUND(I424,2)+(ROUND(I424,2)*L424)</f>
        <v>5.7625</v>
      </c>
      <c r="N424" s="27">
        <f t="shared" si="43"/>
        <v>650.88</v>
      </c>
      <c r="O424" s="15"/>
      <c r="P424" s="15" t="s">
        <v>1170</v>
      </c>
      <c r="Q424" s="15" t="s">
        <v>1171</v>
      </c>
      <c r="R424" s="15" t="s">
        <v>32</v>
      </c>
      <c r="S424" s="15" t="s">
        <v>21</v>
      </c>
      <c r="T424" s="16">
        <v>113</v>
      </c>
      <c r="U424" s="17">
        <f t="shared" si="44"/>
        <v>650.88</v>
      </c>
    </row>
    <row r="425" ht="45" customHeight="1" spans="1:21">
      <c r="A425" s="14" t="s">
        <v>26</v>
      </c>
      <c r="B425" s="15" t="s">
        <v>1225</v>
      </c>
      <c r="C425" s="15" t="s">
        <v>42</v>
      </c>
      <c r="D425" s="15" t="s">
        <v>1226</v>
      </c>
      <c r="E425" s="15" t="s">
        <v>1227</v>
      </c>
      <c r="F425" s="16">
        <f t="shared" si="41"/>
        <v>4</v>
      </c>
      <c r="G425" s="15" t="s">
        <v>48</v>
      </c>
      <c r="H425" s="17">
        <v>113.39</v>
      </c>
      <c r="I425" s="17">
        <f t="shared" si="42"/>
        <v>102.221085</v>
      </c>
      <c r="J425" s="24">
        <f t="shared" si="45"/>
        <v>95.82</v>
      </c>
      <c r="K425" s="25">
        <v>0.0985</v>
      </c>
      <c r="L425" s="26">
        <v>0.25</v>
      </c>
      <c r="M425" s="24">
        <v>127.76</v>
      </c>
      <c r="N425" s="27">
        <f t="shared" si="43"/>
        <v>511.04</v>
      </c>
      <c r="O425" s="15"/>
      <c r="P425" s="15" t="s">
        <v>1228</v>
      </c>
      <c r="Q425" s="15" t="s">
        <v>1229</v>
      </c>
      <c r="R425" s="15" t="s">
        <v>32</v>
      </c>
      <c r="S425" s="15" t="s">
        <v>21</v>
      </c>
      <c r="T425" s="16">
        <v>4</v>
      </c>
      <c r="U425" s="17">
        <f t="shared" si="44"/>
        <v>511.04</v>
      </c>
    </row>
    <row r="426" ht="45" customHeight="1" spans="1:21">
      <c r="A426" s="14" t="s">
        <v>26</v>
      </c>
      <c r="B426" s="15" t="s">
        <v>1230</v>
      </c>
      <c r="C426" s="15" t="s">
        <v>42</v>
      </c>
      <c r="D426" s="15" t="s">
        <v>1231</v>
      </c>
      <c r="E426" s="15" t="s">
        <v>1232</v>
      </c>
      <c r="F426" s="16">
        <f t="shared" si="41"/>
        <v>1</v>
      </c>
      <c r="G426" s="15" t="s">
        <v>40</v>
      </c>
      <c r="H426" s="17">
        <v>9029.13</v>
      </c>
      <c r="I426" s="17">
        <f t="shared" si="42"/>
        <v>8139.760695</v>
      </c>
      <c r="J426" s="24">
        <f t="shared" si="45"/>
        <v>7631.0175</v>
      </c>
      <c r="K426" s="25">
        <v>0.0985</v>
      </c>
      <c r="L426" s="26">
        <v>0.25</v>
      </c>
      <c r="M426" s="24">
        <v>10174.69</v>
      </c>
      <c r="N426" s="27">
        <f t="shared" si="43"/>
        <v>10174.69</v>
      </c>
      <c r="O426" s="15"/>
      <c r="P426" s="15" t="s">
        <v>1228</v>
      </c>
      <c r="Q426" s="15" t="s">
        <v>1229</v>
      </c>
      <c r="R426" s="15" t="s">
        <v>32</v>
      </c>
      <c r="S426" s="15" t="s">
        <v>21</v>
      </c>
      <c r="T426" s="16">
        <v>1</v>
      </c>
      <c r="U426" s="17">
        <f t="shared" si="44"/>
        <v>10174.69</v>
      </c>
    </row>
    <row r="427" ht="45" customHeight="1" spans="1:21">
      <c r="A427" s="14" t="s">
        <v>26</v>
      </c>
      <c r="B427" s="15" t="s">
        <v>1233</v>
      </c>
      <c r="C427" s="15" t="s">
        <v>28</v>
      </c>
      <c r="D427" s="15" t="s">
        <v>1234</v>
      </c>
      <c r="E427" s="15" t="s">
        <v>1235</v>
      </c>
      <c r="F427" s="16">
        <f t="shared" si="41"/>
        <v>1</v>
      </c>
      <c r="G427" s="15" t="s">
        <v>40</v>
      </c>
      <c r="H427" s="17">
        <v>150.24</v>
      </c>
      <c r="I427" s="17">
        <f t="shared" si="42"/>
        <v>135.44136</v>
      </c>
      <c r="J427" s="24">
        <f t="shared" si="45"/>
        <v>126.975</v>
      </c>
      <c r="K427" s="25">
        <v>0.0985</v>
      </c>
      <c r="L427" s="26">
        <v>0.25</v>
      </c>
      <c r="M427" s="24">
        <f>ROUND(I427,2)+(ROUND(I427,2)*L427)</f>
        <v>169.3</v>
      </c>
      <c r="N427" s="27">
        <f t="shared" si="43"/>
        <v>169.3</v>
      </c>
      <c r="O427" s="15"/>
      <c r="P427" s="15" t="s">
        <v>1236</v>
      </c>
      <c r="Q427" s="15" t="s">
        <v>1237</v>
      </c>
      <c r="R427" s="15" t="s">
        <v>32</v>
      </c>
      <c r="S427" s="15" t="s">
        <v>21</v>
      </c>
      <c r="T427" s="16">
        <v>1</v>
      </c>
      <c r="U427" s="17">
        <f t="shared" si="44"/>
        <v>169.3</v>
      </c>
    </row>
    <row r="428" ht="45" customHeight="1" spans="1:21">
      <c r="A428" s="14" t="s">
        <v>26</v>
      </c>
      <c r="B428" s="15" t="s">
        <v>1238</v>
      </c>
      <c r="C428" s="15" t="s">
        <v>28</v>
      </c>
      <c r="D428" s="15" t="s">
        <v>1239</v>
      </c>
      <c r="E428" s="15" t="s">
        <v>1240</v>
      </c>
      <c r="F428" s="16">
        <f t="shared" si="41"/>
        <v>45</v>
      </c>
      <c r="G428" s="15" t="s">
        <v>115</v>
      </c>
      <c r="H428" s="17">
        <v>11.16</v>
      </c>
      <c r="I428" s="17">
        <f t="shared" si="42"/>
        <v>10.06074</v>
      </c>
      <c r="J428" s="24">
        <f t="shared" si="45"/>
        <v>9.4275</v>
      </c>
      <c r="K428" s="25">
        <v>0.0985</v>
      </c>
      <c r="L428" s="26">
        <v>0.25</v>
      </c>
      <c r="M428" s="24">
        <v>12.57</v>
      </c>
      <c r="N428" s="27">
        <f t="shared" si="43"/>
        <v>565.65</v>
      </c>
      <c r="O428" s="15"/>
      <c r="P428" s="15" t="s">
        <v>1236</v>
      </c>
      <c r="Q428" s="15" t="s">
        <v>1237</v>
      </c>
      <c r="R428" s="15" t="s">
        <v>32</v>
      </c>
      <c r="S428" s="15" t="s">
        <v>21</v>
      </c>
      <c r="T428" s="16">
        <v>45</v>
      </c>
      <c r="U428" s="17">
        <f t="shared" si="44"/>
        <v>565.65</v>
      </c>
    </row>
    <row r="429" ht="45" customHeight="1" spans="1:21">
      <c r="A429" s="14" t="s">
        <v>26</v>
      </c>
      <c r="B429" s="15" t="s">
        <v>1241</v>
      </c>
      <c r="C429" s="15" t="s">
        <v>28</v>
      </c>
      <c r="D429" s="15" t="s">
        <v>1242</v>
      </c>
      <c r="E429" s="15" t="s">
        <v>1243</v>
      </c>
      <c r="F429" s="16">
        <f t="shared" si="41"/>
        <v>11</v>
      </c>
      <c r="G429" s="15" t="s">
        <v>40</v>
      </c>
      <c r="H429" s="17">
        <v>31.67</v>
      </c>
      <c r="I429" s="17">
        <f t="shared" si="42"/>
        <v>28.550505</v>
      </c>
      <c r="J429" s="24">
        <f t="shared" si="45"/>
        <v>26.765625</v>
      </c>
      <c r="K429" s="25">
        <v>0.0985</v>
      </c>
      <c r="L429" s="26">
        <v>0.25</v>
      </c>
      <c r="M429" s="24">
        <f>ROUND(I429,2)+(ROUND(I429,2)*L429)</f>
        <v>35.6875</v>
      </c>
      <c r="N429" s="27">
        <f t="shared" si="43"/>
        <v>392.59</v>
      </c>
      <c r="O429" s="15"/>
      <c r="P429" s="15" t="s">
        <v>1236</v>
      </c>
      <c r="Q429" s="15" t="s">
        <v>1237</v>
      </c>
      <c r="R429" s="15" t="s">
        <v>32</v>
      </c>
      <c r="S429" s="15" t="s">
        <v>21</v>
      </c>
      <c r="T429" s="16">
        <v>11</v>
      </c>
      <c r="U429" s="17">
        <f t="shared" si="44"/>
        <v>392.59</v>
      </c>
    </row>
    <row r="430" ht="45" customHeight="1" spans="1:21">
      <c r="A430" s="14" t="s">
        <v>26</v>
      </c>
      <c r="B430" s="15" t="s">
        <v>1244</v>
      </c>
      <c r="C430" s="15" t="s">
        <v>28</v>
      </c>
      <c r="D430" s="15" t="s">
        <v>1245</v>
      </c>
      <c r="E430" s="15" t="s">
        <v>1246</v>
      </c>
      <c r="F430" s="16">
        <f t="shared" si="41"/>
        <v>4</v>
      </c>
      <c r="G430" s="15" t="s">
        <v>40</v>
      </c>
      <c r="H430" s="17">
        <v>28.91</v>
      </c>
      <c r="I430" s="17">
        <f t="shared" si="42"/>
        <v>26.062365</v>
      </c>
      <c r="J430" s="24">
        <f t="shared" si="45"/>
        <v>24.4275</v>
      </c>
      <c r="K430" s="25">
        <v>0.0985</v>
      </c>
      <c r="L430" s="26">
        <v>0.25</v>
      </c>
      <c r="M430" s="24">
        <v>32.57</v>
      </c>
      <c r="N430" s="27">
        <f t="shared" si="43"/>
        <v>130.28</v>
      </c>
      <c r="O430" s="15"/>
      <c r="P430" s="15" t="s">
        <v>1236</v>
      </c>
      <c r="Q430" s="15" t="s">
        <v>1237</v>
      </c>
      <c r="R430" s="15" t="s">
        <v>32</v>
      </c>
      <c r="S430" s="15" t="s">
        <v>21</v>
      </c>
      <c r="T430" s="16">
        <v>4</v>
      </c>
      <c r="U430" s="17">
        <f t="shared" si="44"/>
        <v>130.28</v>
      </c>
    </row>
    <row r="431" ht="45" customHeight="1" spans="1:21">
      <c r="A431" s="14" t="s">
        <v>26</v>
      </c>
      <c r="B431" s="15" t="s">
        <v>1247</v>
      </c>
      <c r="C431" s="15" t="s">
        <v>42</v>
      </c>
      <c r="D431" s="15" t="s">
        <v>1248</v>
      </c>
      <c r="E431" s="15" t="s">
        <v>1249</v>
      </c>
      <c r="F431" s="16">
        <f t="shared" si="41"/>
        <v>1</v>
      </c>
      <c r="G431" s="15" t="s">
        <v>40</v>
      </c>
      <c r="H431" s="17">
        <v>403.35</v>
      </c>
      <c r="I431" s="17">
        <f t="shared" si="42"/>
        <v>363.620025</v>
      </c>
      <c r="J431" s="24">
        <f t="shared" si="45"/>
        <v>340.89</v>
      </c>
      <c r="K431" s="25">
        <v>0.0985</v>
      </c>
      <c r="L431" s="26">
        <v>0.25</v>
      </c>
      <c r="M431" s="24">
        <v>454.52</v>
      </c>
      <c r="N431" s="27">
        <f t="shared" si="43"/>
        <v>454.52</v>
      </c>
      <c r="O431" s="15"/>
      <c r="P431" s="15" t="s">
        <v>1236</v>
      </c>
      <c r="Q431" s="15" t="s">
        <v>1237</v>
      </c>
      <c r="R431" s="15" t="s">
        <v>32</v>
      </c>
      <c r="S431" s="15" t="s">
        <v>21</v>
      </c>
      <c r="T431" s="16">
        <v>1</v>
      </c>
      <c r="U431" s="17">
        <f t="shared" si="44"/>
        <v>454.52</v>
      </c>
    </row>
    <row r="432" ht="45" customHeight="1" spans="1:21">
      <c r="A432" s="14" t="s">
        <v>26</v>
      </c>
      <c r="B432" s="15" t="s">
        <v>1250</v>
      </c>
      <c r="C432" s="15" t="s">
        <v>28</v>
      </c>
      <c r="D432" s="15" t="s">
        <v>1251</v>
      </c>
      <c r="E432" s="15" t="s">
        <v>1252</v>
      </c>
      <c r="F432" s="16">
        <f t="shared" si="41"/>
        <v>33</v>
      </c>
      <c r="G432" s="15" t="s">
        <v>40</v>
      </c>
      <c r="H432" s="17">
        <v>26.16</v>
      </c>
      <c r="I432" s="17">
        <f t="shared" si="42"/>
        <v>23.58324</v>
      </c>
      <c r="J432" s="24">
        <f t="shared" si="45"/>
        <v>22.065</v>
      </c>
      <c r="K432" s="25">
        <v>0.0985</v>
      </c>
      <c r="L432" s="26">
        <v>0.25</v>
      </c>
      <c r="M432" s="24">
        <v>29.42</v>
      </c>
      <c r="N432" s="27">
        <f t="shared" si="43"/>
        <v>970.86</v>
      </c>
      <c r="O432" s="15"/>
      <c r="P432" s="15" t="s">
        <v>1236</v>
      </c>
      <c r="Q432" s="15" t="s">
        <v>1237</v>
      </c>
      <c r="R432" s="15" t="s">
        <v>32</v>
      </c>
      <c r="S432" s="15" t="s">
        <v>21</v>
      </c>
      <c r="T432" s="16">
        <v>33</v>
      </c>
      <c r="U432" s="17">
        <f t="shared" si="44"/>
        <v>970.86</v>
      </c>
    </row>
    <row r="433" ht="45" customHeight="1" spans="1:21">
      <c r="A433" s="14" t="s">
        <v>26</v>
      </c>
      <c r="B433" s="15" t="s">
        <v>1253</v>
      </c>
      <c r="C433" s="15" t="s">
        <v>42</v>
      </c>
      <c r="D433" s="15" t="s">
        <v>1254</v>
      </c>
      <c r="E433" s="15" t="s">
        <v>1255</v>
      </c>
      <c r="F433" s="16">
        <f t="shared" si="41"/>
        <v>1</v>
      </c>
      <c r="G433" s="15" t="s">
        <v>40</v>
      </c>
      <c r="H433" s="17">
        <v>339.21</v>
      </c>
      <c r="I433" s="17">
        <f t="shared" si="42"/>
        <v>305.797815</v>
      </c>
      <c r="J433" s="24">
        <f t="shared" si="45"/>
        <v>286.68</v>
      </c>
      <c r="K433" s="25">
        <v>0.0985</v>
      </c>
      <c r="L433" s="26">
        <v>0.25</v>
      </c>
      <c r="M433" s="24">
        <v>382.24</v>
      </c>
      <c r="N433" s="27">
        <f t="shared" si="43"/>
        <v>382.24</v>
      </c>
      <c r="O433" s="15"/>
      <c r="P433" s="15" t="s">
        <v>1236</v>
      </c>
      <c r="Q433" s="15" t="s">
        <v>1237</v>
      </c>
      <c r="R433" s="15" t="s">
        <v>32</v>
      </c>
      <c r="S433" s="15" t="s">
        <v>21</v>
      </c>
      <c r="T433" s="16">
        <v>1</v>
      </c>
      <c r="U433" s="17">
        <f t="shared" si="44"/>
        <v>382.24</v>
      </c>
    </row>
    <row r="434" ht="45" customHeight="1" spans="1:21">
      <c r="A434" s="14" t="s">
        <v>26</v>
      </c>
      <c r="B434" s="15" t="s">
        <v>1256</v>
      </c>
      <c r="C434" s="15" t="s">
        <v>28</v>
      </c>
      <c r="D434" s="15" t="s">
        <v>1257</v>
      </c>
      <c r="E434" s="15" t="s">
        <v>1258</v>
      </c>
      <c r="F434" s="16">
        <f t="shared" si="41"/>
        <v>26.18</v>
      </c>
      <c r="G434" s="15" t="s">
        <v>89</v>
      </c>
      <c r="H434" s="17">
        <v>78.88</v>
      </c>
      <c r="I434" s="17">
        <f t="shared" si="42"/>
        <v>71.11032</v>
      </c>
      <c r="J434" s="24">
        <f t="shared" si="45"/>
        <v>66.63</v>
      </c>
      <c r="K434" s="25">
        <v>0.0985</v>
      </c>
      <c r="L434" s="26">
        <v>0.25</v>
      </c>
      <c r="M434" s="24">
        <v>88.84</v>
      </c>
      <c r="N434" s="27">
        <f t="shared" si="43"/>
        <v>2325.83</v>
      </c>
      <c r="O434" s="15"/>
      <c r="P434" s="15" t="s">
        <v>1236</v>
      </c>
      <c r="Q434" s="15" t="s">
        <v>1237</v>
      </c>
      <c r="R434" s="15" t="s">
        <v>32</v>
      </c>
      <c r="S434" s="15" t="s">
        <v>21</v>
      </c>
      <c r="T434" s="16">
        <v>26.18</v>
      </c>
      <c r="U434" s="17">
        <f t="shared" si="44"/>
        <v>2325.8312</v>
      </c>
    </row>
    <row r="435" ht="45" customHeight="1" spans="1:21">
      <c r="A435" s="14" t="s">
        <v>26</v>
      </c>
      <c r="B435" s="15" t="s">
        <v>1259</v>
      </c>
      <c r="C435" s="15" t="s">
        <v>28</v>
      </c>
      <c r="D435" s="15" t="s">
        <v>1260</v>
      </c>
      <c r="E435" s="15" t="s">
        <v>1261</v>
      </c>
      <c r="F435" s="16">
        <f t="shared" si="41"/>
        <v>26.18</v>
      </c>
      <c r="G435" s="15" t="s">
        <v>89</v>
      </c>
      <c r="H435" s="17">
        <v>25.36</v>
      </c>
      <c r="I435" s="17">
        <f t="shared" si="42"/>
        <v>22.86204</v>
      </c>
      <c r="J435" s="24">
        <f t="shared" si="45"/>
        <v>21.42</v>
      </c>
      <c r="K435" s="25">
        <v>0.0985</v>
      </c>
      <c r="L435" s="26">
        <v>0.25</v>
      </c>
      <c r="M435" s="24">
        <v>28.56</v>
      </c>
      <c r="N435" s="27">
        <f t="shared" si="43"/>
        <v>747.7</v>
      </c>
      <c r="O435" s="15"/>
      <c r="P435" s="15" t="s">
        <v>1236</v>
      </c>
      <c r="Q435" s="15" t="s">
        <v>1237</v>
      </c>
      <c r="R435" s="15" t="s">
        <v>32</v>
      </c>
      <c r="S435" s="15" t="s">
        <v>21</v>
      </c>
      <c r="T435" s="16">
        <v>26.18</v>
      </c>
      <c r="U435" s="17">
        <f t="shared" si="44"/>
        <v>747.7008</v>
      </c>
    </row>
    <row r="436" ht="45" customHeight="1" spans="1:21">
      <c r="A436" s="14" t="s">
        <v>26</v>
      </c>
      <c r="B436" s="15" t="s">
        <v>1262</v>
      </c>
      <c r="C436" s="15" t="s">
        <v>28</v>
      </c>
      <c r="D436" s="15" t="s">
        <v>1263</v>
      </c>
      <c r="E436" s="15" t="s">
        <v>1264</v>
      </c>
      <c r="F436" s="16">
        <f t="shared" si="41"/>
        <v>11</v>
      </c>
      <c r="G436" s="15" t="s">
        <v>40</v>
      </c>
      <c r="H436" s="17">
        <v>97.63</v>
      </c>
      <c r="I436" s="17">
        <f t="shared" si="42"/>
        <v>88.013445</v>
      </c>
      <c r="J436" s="24">
        <f t="shared" si="45"/>
        <v>82.509375</v>
      </c>
      <c r="K436" s="25">
        <v>0.0985</v>
      </c>
      <c r="L436" s="26">
        <v>0.25</v>
      </c>
      <c r="M436" s="24">
        <f>ROUND(I436,2)+(ROUND(I436,2)*L436)</f>
        <v>110.0125</v>
      </c>
      <c r="N436" s="27">
        <f t="shared" si="43"/>
        <v>1210.11</v>
      </c>
      <c r="O436" s="15"/>
      <c r="P436" s="15" t="s">
        <v>1236</v>
      </c>
      <c r="Q436" s="15" t="s">
        <v>1237</v>
      </c>
      <c r="R436" s="15" t="s">
        <v>32</v>
      </c>
      <c r="S436" s="15" t="s">
        <v>21</v>
      </c>
      <c r="T436" s="16">
        <v>11</v>
      </c>
      <c r="U436" s="17">
        <f t="shared" si="44"/>
        <v>1210.11</v>
      </c>
    </row>
    <row r="437" ht="45" customHeight="1" spans="1:21">
      <c r="A437" s="14" t="s">
        <v>26</v>
      </c>
      <c r="B437" s="15" t="s">
        <v>1265</v>
      </c>
      <c r="C437" s="15" t="s">
        <v>28</v>
      </c>
      <c r="D437" s="15" t="s">
        <v>1266</v>
      </c>
      <c r="E437" s="15" t="s">
        <v>1267</v>
      </c>
      <c r="F437" s="16">
        <f t="shared" si="41"/>
        <v>287</v>
      </c>
      <c r="G437" s="15" t="s">
        <v>48</v>
      </c>
      <c r="H437" s="17">
        <v>62.93</v>
      </c>
      <c r="I437" s="17">
        <f t="shared" si="42"/>
        <v>56.731395</v>
      </c>
      <c r="J437" s="24">
        <f t="shared" si="45"/>
        <v>53.175</v>
      </c>
      <c r="K437" s="25">
        <v>0.0985</v>
      </c>
      <c r="L437" s="26">
        <v>0.25</v>
      </c>
      <c r="M437" s="24">
        <v>70.9</v>
      </c>
      <c r="N437" s="27">
        <f t="shared" si="43"/>
        <v>20348.3</v>
      </c>
      <c r="O437" s="15"/>
      <c r="P437" s="15" t="s">
        <v>1236</v>
      </c>
      <c r="Q437" s="15" t="s">
        <v>1237</v>
      </c>
      <c r="R437" s="15" t="s">
        <v>32</v>
      </c>
      <c r="S437" s="15" t="s">
        <v>21</v>
      </c>
      <c r="T437" s="16">
        <v>287</v>
      </c>
      <c r="U437" s="17">
        <f t="shared" si="44"/>
        <v>20348.3</v>
      </c>
    </row>
    <row r="438" ht="45" customHeight="1" spans="1:21">
      <c r="A438" s="14" t="s">
        <v>26</v>
      </c>
      <c r="B438" s="15" t="s">
        <v>1268</v>
      </c>
      <c r="C438" s="15" t="s">
        <v>28</v>
      </c>
      <c r="D438" s="15" t="s">
        <v>1269</v>
      </c>
      <c r="E438" s="15" t="s">
        <v>1270</v>
      </c>
      <c r="F438" s="16">
        <f t="shared" si="41"/>
        <v>174.5</v>
      </c>
      <c r="G438" s="15" t="s">
        <v>48</v>
      </c>
      <c r="H438" s="17">
        <v>48.78</v>
      </c>
      <c r="I438" s="17">
        <f t="shared" si="42"/>
        <v>43.97517</v>
      </c>
      <c r="J438" s="24">
        <f t="shared" si="45"/>
        <v>41.2275</v>
      </c>
      <c r="K438" s="25">
        <v>0.0985</v>
      </c>
      <c r="L438" s="26">
        <v>0.25</v>
      </c>
      <c r="M438" s="24">
        <v>54.97</v>
      </c>
      <c r="N438" s="27">
        <f t="shared" si="43"/>
        <v>9592.27</v>
      </c>
      <c r="O438" s="15"/>
      <c r="P438" s="15" t="s">
        <v>1236</v>
      </c>
      <c r="Q438" s="15" t="s">
        <v>1237</v>
      </c>
      <c r="R438" s="15" t="s">
        <v>32</v>
      </c>
      <c r="S438" s="15" t="s">
        <v>21</v>
      </c>
      <c r="T438" s="16">
        <v>174.5</v>
      </c>
      <c r="U438" s="17">
        <f t="shared" si="44"/>
        <v>9592.265</v>
      </c>
    </row>
    <row r="439" ht="45" customHeight="1" spans="1:21">
      <c r="A439" s="14" t="s">
        <v>26</v>
      </c>
      <c r="B439" s="15" t="s">
        <v>1271</v>
      </c>
      <c r="C439" s="15" t="s">
        <v>28</v>
      </c>
      <c r="D439" s="15" t="s">
        <v>1272</v>
      </c>
      <c r="E439" s="15" t="s">
        <v>1273</v>
      </c>
      <c r="F439" s="16">
        <f t="shared" si="41"/>
        <v>11</v>
      </c>
      <c r="G439" s="15" t="s">
        <v>40</v>
      </c>
      <c r="H439" s="17">
        <v>46.88</v>
      </c>
      <c r="I439" s="17">
        <f t="shared" si="42"/>
        <v>42.26232</v>
      </c>
      <c r="J439" s="24">
        <f t="shared" si="45"/>
        <v>39.615</v>
      </c>
      <c r="K439" s="25">
        <v>0.0985</v>
      </c>
      <c r="L439" s="26">
        <v>0.25</v>
      </c>
      <c r="M439" s="24">
        <v>52.82</v>
      </c>
      <c r="N439" s="27">
        <f t="shared" si="43"/>
        <v>581.02</v>
      </c>
      <c r="O439" s="15"/>
      <c r="P439" s="15" t="s">
        <v>1236</v>
      </c>
      <c r="Q439" s="15" t="s">
        <v>1237</v>
      </c>
      <c r="R439" s="15" t="s">
        <v>32</v>
      </c>
      <c r="S439" s="15" t="s">
        <v>21</v>
      </c>
      <c r="T439" s="16">
        <v>11</v>
      </c>
      <c r="U439" s="17">
        <f t="shared" si="44"/>
        <v>581.02</v>
      </c>
    </row>
    <row r="440" ht="45" customHeight="1" spans="1:21">
      <c r="A440" s="14" t="s">
        <v>26</v>
      </c>
      <c r="B440" s="15" t="s">
        <v>1274</v>
      </c>
      <c r="C440" s="15" t="s">
        <v>42</v>
      </c>
      <c r="D440" s="15" t="s">
        <v>1199</v>
      </c>
      <c r="E440" s="15" t="s">
        <v>1200</v>
      </c>
      <c r="F440" s="16">
        <f t="shared" si="41"/>
        <v>251</v>
      </c>
      <c r="G440" s="15" t="s">
        <v>40</v>
      </c>
      <c r="H440" s="17">
        <v>18.58</v>
      </c>
      <c r="I440" s="17">
        <f t="shared" si="42"/>
        <v>16.74987</v>
      </c>
      <c r="J440" s="24">
        <f t="shared" si="45"/>
        <v>15.03</v>
      </c>
      <c r="K440" s="25">
        <v>0.0985</v>
      </c>
      <c r="L440" s="26">
        <v>0.25</v>
      </c>
      <c r="M440" s="24">
        <v>20.04</v>
      </c>
      <c r="N440" s="27">
        <f t="shared" si="43"/>
        <v>5030.04</v>
      </c>
      <c r="O440" s="15"/>
      <c r="P440" s="15" t="s">
        <v>1236</v>
      </c>
      <c r="Q440" s="15" t="s">
        <v>1237</v>
      </c>
      <c r="R440" s="15" t="s">
        <v>32</v>
      </c>
      <c r="S440" s="15" t="s">
        <v>21</v>
      </c>
      <c r="T440" s="16">
        <v>251</v>
      </c>
      <c r="U440" s="17">
        <f t="shared" si="44"/>
        <v>5030.04</v>
      </c>
    </row>
    <row r="441" ht="45" customHeight="1" spans="1:21">
      <c r="A441" s="14" t="s">
        <v>26</v>
      </c>
      <c r="B441" s="15" t="s">
        <v>1275</v>
      </c>
      <c r="C441" s="15" t="s">
        <v>42</v>
      </c>
      <c r="D441" s="15" t="s">
        <v>1276</v>
      </c>
      <c r="E441" s="15" t="s">
        <v>1277</v>
      </c>
      <c r="F441" s="16">
        <f t="shared" si="41"/>
        <v>22</v>
      </c>
      <c r="G441" s="15" t="s">
        <v>40</v>
      </c>
      <c r="H441" s="17">
        <v>65.3</v>
      </c>
      <c r="I441" s="17">
        <f t="shared" si="42"/>
        <v>58.86795</v>
      </c>
      <c r="J441" s="24">
        <f t="shared" si="45"/>
        <v>55.185</v>
      </c>
      <c r="K441" s="25">
        <v>0.0985</v>
      </c>
      <c r="L441" s="26">
        <v>0.25</v>
      </c>
      <c r="M441" s="24">
        <v>73.58</v>
      </c>
      <c r="N441" s="27">
        <f t="shared" si="43"/>
        <v>1618.76</v>
      </c>
      <c r="O441" s="15"/>
      <c r="P441" s="15" t="s">
        <v>1236</v>
      </c>
      <c r="Q441" s="15" t="s">
        <v>1237</v>
      </c>
      <c r="R441" s="15" t="s">
        <v>32</v>
      </c>
      <c r="S441" s="15" t="s">
        <v>21</v>
      </c>
      <c r="T441" s="16">
        <v>22</v>
      </c>
      <c r="U441" s="17">
        <f t="shared" si="44"/>
        <v>1618.76</v>
      </c>
    </row>
    <row r="442" ht="45" customHeight="1" spans="1:21">
      <c r="A442" s="14" t="s">
        <v>26</v>
      </c>
      <c r="B442" s="15" t="s">
        <v>1278</v>
      </c>
      <c r="C442" s="15" t="s">
        <v>42</v>
      </c>
      <c r="D442" s="15" t="s">
        <v>1279</v>
      </c>
      <c r="E442" s="15" t="s">
        <v>1280</v>
      </c>
      <c r="F442" s="16">
        <f t="shared" si="41"/>
        <v>1</v>
      </c>
      <c r="G442" s="15" t="s">
        <v>40</v>
      </c>
      <c r="H442" s="17">
        <v>4159.38</v>
      </c>
      <c r="I442" s="17">
        <f t="shared" si="42"/>
        <v>3749.68107</v>
      </c>
      <c r="J442" s="24">
        <f t="shared" si="45"/>
        <v>3515.325</v>
      </c>
      <c r="K442" s="25">
        <v>0.0985</v>
      </c>
      <c r="L442" s="26">
        <v>0.25</v>
      </c>
      <c r="M442" s="24">
        <f>ROUND(I442,2)+(ROUND(I442,2)*L442)</f>
        <v>4687.1</v>
      </c>
      <c r="N442" s="27">
        <f t="shared" si="43"/>
        <v>4687.1</v>
      </c>
      <c r="O442" s="15"/>
      <c r="P442" s="15" t="s">
        <v>1281</v>
      </c>
      <c r="Q442" s="15" t="s">
        <v>1282</v>
      </c>
      <c r="R442" s="15" t="s">
        <v>32</v>
      </c>
      <c r="S442" s="15" t="s">
        <v>21</v>
      </c>
      <c r="T442" s="16">
        <v>1</v>
      </c>
      <c r="U442" s="17">
        <f t="shared" si="44"/>
        <v>4687.1</v>
      </c>
    </row>
    <row r="443" ht="45" customHeight="1" spans="1:21">
      <c r="A443" s="14" t="s">
        <v>26</v>
      </c>
      <c r="B443" s="15" t="s">
        <v>1283</v>
      </c>
      <c r="C443" s="15" t="s">
        <v>42</v>
      </c>
      <c r="D443" s="15" t="s">
        <v>1284</v>
      </c>
      <c r="E443" s="15" t="s">
        <v>1285</v>
      </c>
      <c r="F443" s="16">
        <f t="shared" si="41"/>
        <v>42.96</v>
      </c>
      <c r="G443" s="15" t="s">
        <v>31</v>
      </c>
      <c r="H443" s="17">
        <v>569.65</v>
      </c>
      <c r="I443" s="17">
        <f t="shared" si="42"/>
        <v>513.539475</v>
      </c>
      <c r="J443" s="24">
        <f t="shared" si="45"/>
        <v>481.44</v>
      </c>
      <c r="K443" s="25">
        <v>0.0985</v>
      </c>
      <c r="L443" s="26">
        <v>0.25</v>
      </c>
      <c r="M443" s="24">
        <v>641.92</v>
      </c>
      <c r="N443" s="27">
        <f t="shared" si="43"/>
        <v>27576.88</v>
      </c>
      <c r="O443" s="15"/>
      <c r="P443" s="15" t="s">
        <v>1281</v>
      </c>
      <c r="Q443" s="15" t="s">
        <v>1282</v>
      </c>
      <c r="R443" s="15" t="s">
        <v>32</v>
      </c>
      <c r="S443" s="15" t="s">
        <v>21</v>
      </c>
      <c r="T443" s="16">
        <v>42.96</v>
      </c>
      <c r="U443" s="17">
        <f t="shared" si="44"/>
        <v>27576.8832</v>
      </c>
    </row>
    <row r="444" ht="45" customHeight="1" spans="1:21">
      <c r="A444" s="14" t="s">
        <v>26</v>
      </c>
      <c r="B444" s="15" t="s">
        <v>1286</v>
      </c>
      <c r="C444" s="15" t="s">
        <v>42</v>
      </c>
      <c r="D444" s="15" t="s">
        <v>1287</v>
      </c>
      <c r="E444" s="15" t="s">
        <v>1288</v>
      </c>
      <c r="F444" s="16">
        <f t="shared" si="41"/>
        <v>26.89</v>
      </c>
      <c r="G444" s="15" t="s">
        <v>31</v>
      </c>
      <c r="H444" s="17">
        <v>490.17</v>
      </c>
      <c r="I444" s="17">
        <f t="shared" si="42"/>
        <v>441.888255</v>
      </c>
      <c r="J444" s="24">
        <f t="shared" si="45"/>
        <v>414.2625</v>
      </c>
      <c r="K444" s="25">
        <v>0.0985</v>
      </c>
      <c r="L444" s="26">
        <v>0.25</v>
      </c>
      <c r="M444" s="24">
        <v>552.35</v>
      </c>
      <c r="N444" s="27">
        <f t="shared" si="43"/>
        <v>14852.69</v>
      </c>
      <c r="O444" s="15"/>
      <c r="P444" s="15" t="s">
        <v>1281</v>
      </c>
      <c r="Q444" s="15" t="s">
        <v>1282</v>
      </c>
      <c r="R444" s="15" t="s">
        <v>32</v>
      </c>
      <c r="S444" s="15" t="s">
        <v>21</v>
      </c>
      <c r="T444" s="16">
        <v>26.89</v>
      </c>
      <c r="U444" s="17">
        <f t="shared" si="44"/>
        <v>14852.6915</v>
      </c>
    </row>
    <row r="445" ht="45" customHeight="1" spans="1:21">
      <c r="A445" s="14" t="s">
        <v>26</v>
      </c>
      <c r="B445" s="15" t="s">
        <v>1289</v>
      </c>
      <c r="C445" s="15" t="s">
        <v>42</v>
      </c>
      <c r="D445" s="15" t="s">
        <v>1290</v>
      </c>
      <c r="E445" s="15" t="s">
        <v>1291</v>
      </c>
      <c r="F445" s="16">
        <f t="shared" si="41"/>
        <v>30.15</v>
      </c>
      <c r="G445" s="15" t="s">
        <v>31</v>
      </c>
      <c r="H445" s="17">
        <v>249.47</v>
      </c>
      <c r="I445" s="17">
        <f t="shared" si="42"/>
        <v>224.897205</v>
      </c>
      <c r="J445" s="24">
        <f t="shared" si="45"/>
        <v>210.84</v>
      </c>
      <c r="K445" s="25">
        <v>0.0985</v>
      </c>
      <c r="L445" s="26">
        <v>0.25</v>
      </c>
      <c r="M445" s="24">
        <v>281.12</v>
      </c>
      <c r="N445" s="27">
        <f t="shared" si="43"/>
        <v>8475.77</v>
      </c>
      <c r="O445" s="15"/>
      <c r="P445" s="15" t="s">
        <v>1281</v>
      </c>
      <c r="Q445" s="15" t="s">
        <v>1282</v>
      </c>
      <c r="R445" s="15" t="s">
        <v>32</v>
      </c>
      <c r="S445" s="15" t="s">
        <v>21</v>
      </c>
      <c r="T445" s="16">
        <v>30.15</v>
      </c>
      <c r="U445" s="17">
        <f t="shared" si="44"/>
        <v>8475.768</v>
      </c>
    </row>
    <row r="446" ht="45" customHeight="1" spans="1:21">
      <c r="A446" s="14" t="s">
        <v>26</v>
      </c>
      <c r="B446" s="15" t="s">
        <v>1292</v>
      </c>
      <c r="C446" s="15" t="s">
        <v>28</v>
      </c>
      <c r="D446" s="15" t="s">
        <v>1293</v>
      </c>
      <c r="E446" s="15" t="s">
        <v>1294</v>
      </c>
      <c r="F446" s="16">
        <f t="shared" si="41"/>
        <v>79.65</v>
      </c>
      <c r="G446" s="15" t="s">
        <v>48</v>
      </c>
      <c r="H446" s="17">
        <v>114.84</v>
      </c>
      <c r="I446" s="17">
        <f t="shared" si="42"/>
        <v>103.52826</v>
      </c>
      <c r="J446" s="24">
        <f t="shared" si="45"/>
        <v>97.059375</v>
      </c>
      <c r="K446" s="25">
        <v>0.0985</v>
      </c>
      <c r="L446" s="26">
        <v>0.25</v>
      </c>
      <c r="M446" s="24">
        <f>ROUND(I446,2)+(ROUND(I446,2)*L446)</f>
        <v>129.4125</v>
      </c>
      <c r="N446" s="27">
        <f t="shared" si="43"/>
        <v>10307.51</v>
      </c>
      <c r="O446" s="15"/>
      <c r="P446" s="15" t="s">
        <v>1281</v>
      </c>
      <c r="Q446" s="15" t="s">
        <v>1282</v>
      </c>
      <c r="R446" s="15" t="s">
        <v>32</v>
      </c>
      <c r="S446" s="15" t="s">
        <v>21</v>
      </c>
      <c r="T446" s="16">
        <v>79.65</v>
      </c>
      <c r="U446" s="17">
        <f t="shared" si="44"/>
        <v>10307.5065</v>
      </c>
    </row>
    <row r="447" ht="45" customHeight="1" spans="1:21">
      <c r="A447" s="14" t="s">
        <v>26</v>
      </c>
      <c r="B447" s="15" t="s">
        <v>1295</v>
      </c>
      <c r="C447" s="15" t="s">
        <v>28</v>
      </c>
      <c r="D447" s="15" t="s">
        <v>1296</v>
      </c>
      <c r="E447" s="15" t="s">
        <v>1297</v>
      </c>
      <c r="F447" s="16">
        <f t="shared" si="41"/>
        <v>148</v>
      </c>
      <c r="G447" s="15" t="s">
        <v>40</v>
      </c>
      <c r="H447" s="17">
        <v>34.33</v>
      </c>
      <c r="I447" s="17">
        <f t="shared" si="42"/>
        <v>30.948495</v>
      </c>
      <c r="J447" s="24">
        <f t="shared" si="45"/>
        <v>28.995</v>
      </c>
      <c r="K447" s="25">
        <v>0.0985</v>
      </c>
      <c r="L447" s="26">
        <v>0.25</v>
      </c>
      <c r="M447" s="24">
        <v>38.66</v>
      </c>
      <c r="N447" s="27">
        <f t="shared" si="43"/>
        <v>5721.68</v>
      </c>
      <c r="O447" s="15"/>
      <c r="P447" s="15" t="s">
        <v>1281</v>
      </c>
      <c r="Q447" s="15" t="s">
        <v>1282</v>
      </c>
      <c r="R447" s="15" t="s">
        <v>32</v>
      </c>
      <c r="S447" s="15" t="s">
        <v>21</v>
      </c>
      <c r="T447" s="16">
        <v>148</v>
      </c>
      <c r="U447" s="17">
        <f t="shared" si="44"/>
        <v>5721.68</v>
      </c>
    </row>
    <row r="448" ht="45" customHeight="1" spans="1:21">
      <c r="A448" s="14" t="s">
        <v>26</v>
      </c>
      <c r="B448" s="15" t="s">
        <v>1298</v>
      </c>
      <c r="C448" s="15" t="s">
        <v>42</v>
      </c>
      <c r="D448" s="15" t="s">
        <v>1299</v>
      </c>
      <c r="E448" s="15" t="s">
        <v>1300</v>
      </c>
      <c r="F448" s="16">
        <f t="shared" si="41"/>
        <v>4.12</v>
      </c>
      <c r="G448" s="15" t="s">
        <v>48</v>
      </c>
      <c r="H448" s="17">
        <v>198.37</v>
      </c>
      <c r="I448" s="17">
        <f t="shared" si="42"/>
        <v>178.830555</v>
      </c>
      <c r="J448" s="24">
        <f t="shared" si="45"/>
        <v>167.6475</v>
      </c>
      <c r="K448" s="25">
        <v>0.0985</v>
      </c>
      <c r="L448" s="26">
        <v>0.25</v>
      </c>
      <c r="M448" s="24">
        <v>223.53</v>
      </c>
      <c r="N448" s="27">
        <f t="shared" si="43"/>
        <v>920.94</v>
      </c>
      <c r="O448" s="15"/>
      <c r="P448" s="15" t="s">
        <v>1281</v>
      </c>
      <c r="Q448" s="15" t="s">
        <v>1282</v>
      </c>
      <c r="R448" s="15" t="s">
        <v>32</v>
      </c>
      <c r="S448" s="15" t="s">
        <v>21</v>
      </c>
      <c r="T448" s="16">
        <v>4.12</v>
      </c>
      <c r="U448" s="17">
        <f t="shared" si="44"/>
        <v>920.9436</v>
      </c>
    </row>
    <row r="449" ht="45" customHeight="1" spans="1:21">
      <c r="A449" s="14" t="s">
        <v>26</v>
      </c>
      <c r="B449" s="15" t="s">
        <v>1301</v>
      </c>
      <c r="C449" s="15" t="s">
        <v>42</v>
      </c>
      <c r="D449" s="15" t="s">
        <v>1302</v>
      </c>
      <c r="E449" s="15" t="s">
        <v>1303</v>
      </c>
      <c r="F449" s="16">
        <f t="shared" si="41"/>
        <v>9.32</v>
      </c>
      <c r="G449" s="15" t="s">
        <v>31</v>
      </c>
      <c r="H449" s="17">
        <v>540.79</v>
      </c>
      <c r="I449" s="17">
        <f t="shared" si="42"/>
        <v>487.522185</v>
      </c>
      <c r="J449" s="24">
        <f t="shared" si="45"/>
        <v>457.05</v>
      </c>
      <c r="K449" s="25">
        <v>0.0985</v>
      </c>
      <c r="L449" s="26">
        <v>0.25</v>
      </c>
      <c r="M449" s="24">
        <f>ROUND(I449,2)+(ROUND(I449,2)*L449)</f>
        <v>609.4</v>
      </c>
      <c r="N449" s="27">
        <f t="shared" si="43"/>
        <v>5679.61</v>
      </c>
      <c r="O449" s="15"/>
      <c r="P449" s="15" t="s">
        <v>1281</v>
      </c>
      <c r="Q449" s="15" t="s">
        <v>1282</v>
      </c>
      <c r="R449" s="15" t="s">
        <v>32</v>
      </c>
      <c r="S449" s="15" t="s">
        <v>21</v>
      </c>
      <c r="T449" s="16">
        <v>9.32</v>
      </c>
      <c r="U449" s="17">
        <f t="shared" si="44"/>
        <v>5679.608</v>
      </c>
    </row>
    <row r="450" ht="45" customHeight="1" spans="1:21">
      <c r="A450" s="14" t="s">
        <v>26</v>
      </c>
      <c r="B450" s="15" t="s">
        <v>1304</v>
      </c>
      <c r="C450" s="15" t="s">
        <v>42</v>
      </c>
      <c r="D450" s="15" t="s">
        <v>1305</v>
      </c>
      <c r="E450" s="15" t="s">
        <v>1306</v>
      </c>
      <c r="F450" s="16">
        <f t="shared" si="41"/>
        <v>2</v>
      </c>
      <c r="G450" s="15" t="s">
        <v>40</v>
      </c>
      <c r="H450" s="17">
        <v>18.09</v>
      </c>
      <c r="I450" s="17">
        <f t="shared" si="42"/>
        <v>16.308135</v>
      </c>
      <c r="J450" s="24">
        <f t="shared" si="45"/>
        <v>15.285</v>
      </c>
      <c r="K450" s="25">
        <v>0.0985</v>
      </c>
      <c r="L450" s="26">
        <v>0.25</v>
      </c>
      <c r="M450" s="24">
        <v>20.38</v>
      </c>
      <c r="N450" s="27">
        <f t="shared" si="43"/>
        <v>40.76</v>
      </c>
      <c r="O450" s="15"/>
      <c r="P450" s="15" t="s">
        <v>1281</v>
      </c>
      <c r="Q450" s="15" t="s">
        <v>1282</v>
      </c>
      <c r="R450" s="15" t="s">
        <v>32</v>
      </c>
      <c r="S450" s="15" t="s">
        <v>21</v>
      </c>
      <c r="T450" s="16">
        <v>2</v>
      </c>
      <c r="U450" s="17">
        <f t="shared" si="44"/>
        <v>40.76</v>
      </c>
    </row>
    <row r="451" ht="45" customHeight="1" spans="1:21">
      <c r="A451" s="14" t="s">
        <v>26</v>
      </c>
      <c r="B451" s="15" t="s">
        <v>1307</v>
      </c>
      <c r="C451" s="15" t="s">
        <v>28</v>
      </c>
      <c r="D451" s="15" t="s">
        <v>1308</v>
      </c>
      <c r="E451" s="15" t="s">
        <v>1309</v>
      </c>
      <c r="F451" s="16">
        <f t="shared" si="41"/>
        <v>891.68</v>
      </c>
      <c r="G451" s="15" t="s">
        <v>31</v>
      </c>
      <c r="H451" s="17">
        <v>1.93</v>
      </c>
      <c r="I451" s="17">
        <f t="shared" si="42"/>
        <v>1.739895</v>
      </c>
      <c r="J451" s="24">
        <f t="shared" si="45"/>
        <v>1.6275</v>
      </c>
      <c r="K451" s="25">
        <v>0.0985</v>
      </c>
      <c r="L451" s="26">
        <v>0.25</v>
      </c>
      <c r="M451" s="24">
        <v>2.17</v>
      </c>
      <c r="N451" s="27">
        <f t="shared" si="43"/>
        <v>1934.95</v>
      </c>
      <c r="O451" s="15"/>
      <c r="P451" s="15" t="s">
        <v>1310</v>
      </c>
      <c r="Q451" s="15" t="s">
        <v>1311</v>
      </c>
      <c r="R451" s="15" t="s">
        <v>32</v>
      </c>
      <c r="S451" s="15" t="s">
        <v>21</v>
      </c>
      <c r="T451" s="16">
        <v>891.68</v>
      </c>
      <c r="U451" s="17">
        <f t="shared" si="44"/>
        <v>1934.9456</v>
      </c>
    </row>
    <row r="452" ht="45" customHeight="1" spans="1:21">
      <c r="A452" s="14" t="s">
        <v>26</v>
      </c>
      <c r="B452" s="15" t="s">
        <v>1312</v>
      </c>
      <c r="C452" s="15" t="s">
        <v>28</v>
      </c>
      <c r="D452" s="15" t="s">
        <v>29</v>
      </c>
      <c r="E452" s="15" t="s">
        <v>30</v>
      </c>
      <c r="F452" s="16">
        <f t="shared" si="41"/>
        <v>2</v>
      </c>
      <c r="G452" s="15" t="s">
        <v>31</v>
      </c>
      <c r="H452" s="17">
        <v>307</v>
      </c>
      <c r="I452" s="17">
        <f t="shared" si="42"/>
        <v>276.75129</v>
      </c>
      <c r="J452" s="24">
        <f t="shared" si="45"/>
        <v>259.4475</v>
      </c>
      <c r="K452" s="25">
        <v>0.09853</v>
      </c>
      <c r="L452" s="26">
        <v>0.25</v>
      </c>
      <c r="M452" s="24">
        <v>345.93</v>
      </c>
      <c r="N452" s="27">
        <f t="shared" si="43"/>
        <v>691.86</v>
      </c>
      <c r="O452" s="15"/>
      <c r="P452" s="15" t="s">
        <v>1310</v>
      </c>
      <c r="Q452" s="15" t="s">
        <v>1311</v>
      </c>
      <c r="R452" s="15" t="s">
        <v>32</v>
      </c>
      <c r="S452" s="15" t="s">
        <v>21</v>
      </c>
      <c r="T452" s="16">
        <v>2</v>
      </c>
      <c r="U452" s="17">
        <f t="shared" si="44"/>
        <v>691.86</v>
      </c>
    </row>
    <row r="453" ht="54.75" customHeight="1" spans="1:21">
      <c r="A453" s="14" t="s">
        <v>26</v>
      </c>
      <c r="B453" s="15" t="s">
        <v>1313</v>
      </c>
      <c r="C453" s="15" t="s">
        <v>28</v>
      </c>
      <c r="D453" s="15" t="s">
        <v>1314</v>
      </c>
      <c r="E453" s="15" t="s">
        <v>1315</v>
      </c>
      <c r="F453" s="16">
        <f t="shared" si="41"/>
        <v>16.9</v>
      </c>
      <c r="G453" s="15" t="s">
        <v>48</v>
      </c>
      <c r="H453" s="17">
        <v>25.65</v>
      </c>
      <c r="I453" s="17">
        <f t="shared" si="42"/>
        <v>23.123475</v>
      </c>
      <c r="J453" s="24">
        <f t="shared" si="45"/>
        <v>21.675</v>
      </c>
      <c r="K453" s="25">
        <v>0.0985</v>
      </c>
      <c r="L453" s="26">
        <v>0.25</v>
      </c>
      <c r="M453" s="24">
        <f>ROUND(I453,2)+(ROUND(I453,2)*L453)</f>
        <v>28.9</v>
      </c>
      <c r="N453" s="27">
        <f t="shared" si="43"/>
        <v>488.41</v>
      </c>
      <c r="O453" s="15"/>
      <c r="P453" s="15" t="s">
        <v>1150</v>
      </c>
      <c r="Q453" s="15" t="s">
        <v>1151</v>
      </c>
      <c r="R453" s="15" t="s">
        <v>32</v>
      </c>
      <c r="S453" s="15" t="s">
        <v>21</v>
      </c>
      <c r="T453" s="16">
        <v>16.9</v>
      </c>
      <c r="U453" s="17">
        <f t="shared" si="44"/>
        <v>488.41</v>
      </c>
    </row>
    <row r="454" ht="45" customHeight="1" spans="1:21">
      <c r="A454" s="14" t="s">
        <v>26</v>
      </c>
      <c r="B454" s="15" t="s">
        <v>1316</v>
      </c>
      <c r="C454" s="15" t="s">
        <v>28</v>
      </c>
      <c r="D454" s="15" t="s">
        <v>1317</v>
      </c>
      <c r="E454" s="15" t="s">
        <v>1318</v>
      </c>
      <c r="F454" s="16">
        <f t="shared" si="41"/>
        <v>47</v>
      </c>
      <c r="G454" s="15" t="s">
        <v>40</v>
      </c>
      <c r="H454" s="17">
        <v>40.39</v>
      </c>
      <c r="I454" s="17">
        <f t="shared" si="42"/>
        <v>36.411585</v>
      </c>
      <c r="J454" s="24">
        <f t="shared" si="45"/>
        <v>34.134375</v>
      </c>
      <c r="K454" s="25">
        <v>0.0985</v>
      </c>
      <c r="L454" s="26">
        <v>0.25</v>
      </c>
      <c r="M454" s="24">
        <f>ROUND(I454,2)+(ROUND(I454,2)*L454)</f>
        <v>45.5125</v>
      </c>
      <c r="N454" s="27">
        <f t="shared" si="43"/>
        <v>2138.97</v>
      </c>
      <c r="O454" s="15"/>
      <c r="P454" s="15" t="s">
        <v>683</v>
      </c>
      <c r="Q454" s="15" t="s">
        <v>684</v>
      </c>
      <c r="R454" s="15" t="s">
        <v>32</v>
      </c>
      <c r="S454" s="15" t="s">
        <v>21</v>
      </c>
      <c r="T454" s="16">
        <v>47</v>
      </c>
      <c r="U454" s="17">
        <f t="shared" si="44"/>
        <v>2138.97</v>
      </c>
    </row>
    <row r="455" ht="45" customHeight="1" spans="1:21">
      <c r="A455" s="14" t="s">
        <v>26</v>
      </c>
      <c r="B455" s="15" t="s">
        <v>1319</v>
      </c>
      <c r="C455" s="15" t="s">
        <v>28</v>
      </c>
      <c r="D455" s="15" t="s">
        <v>1320</v>
      </c>
      <c r="E455" s="15" t="s">
        <v>1321</v>
      </c>
      <c r="F455" s="16">
        <f t="shared" si="41"/>
        <v>5</v>
      </c>
      <c r="G455" s="15" t="s">
        <v>40</v>
      </c>
      <c r="H455" s="17">
        <v>373.57</v>
      </c>
      <c r="I455" s="17">
        <f t="shared" si="42"/>
        <v>336.773355</v>
      </c>
      <c r="J455" s="24">
        <f t="shared" si="45"/>
        <v>315.721875</v>
      </c>
      <c r="K455" s="25">
        <v>0.0985</v>
      </c>
      <c r="L455" s="26">
        <v>0.25</v>
      </c>
      <c r="M455" s="24">
        <f>ROUND(I455,2)+(ROUND(I455,2)*L455)</f>
        <v>420.9625</v>
      </c>
      <c r="N455" s="27">
        <f t="shared" si="43"/>
        <v>2104.8</v>
      </c>
      <c r="O455" s="15"/>
      <c r="P455" s="15" t="s">
        <v>802</v>
      </c>
      <c r="Q455" s="15" t="s">
        <v>803</v>
      </c>
      <c r="R455" s="15" t="s">
        <v>32</v>
      </c>
      <c r="S455" s="15" t="s">
        <v>21</v>
      </c>
      <c r="T455" s="16">
        <v>5</v>
      </c>
      <c r="U455" s="17">
        <f t="shared" si="44"/>
        <v>2104.8</v>
      </c>
    </row>
    <row r="456" ht="54.75" customHeight="1" spans="1:21">
      <c r="A456" s="14" t="s">
        <v>26</v>
      </c>
      <c r="B456" s="15" t="s">
        <v>1322</v>
      </c>
      <c r="C456" s="15" t="s">
        <v>28</v>
      </c>
      <c r="D456" s="15" t="s">
        <v>1323</v>
      </c>
      <c r="E456" s="15" t="s">
        <v>1324</v>
      </c>
      <c r="F456" s="16">
        <f t="shared" si="41"/>
        <v>1</v>
      </c>
      <c r="G456" s="15" t="s">
        <v>40</v>
      </c>
      <c r="H456" s="17">
        <v>358.77</v>
      </c>
      <c r="I456" s="17">
        <f t="shared" si="42"/>
        <v>323.431155</v>
      </c>
      <c r="J456" s="24">
        <f t="shared" si="45"/>
        <v>303.2025</v>
      </c>
      <c r="K456" s="25">
        <v>0.0985</v>
      </c>
      <c r="L456" s="26">
        <v>0.25</v>
      </c>
      <c r="M456" s="24">
        <v>404.27</v>
      </c>
      <c r="N456" s="27">
        <f t="shared" si="43"/>
        <v>404.27</v>
      </c>
      <c r="O456" s="15"/>
      <c r="P456" s="15" t="s">
        <v>1004</v>
      </c>
      <c r="Q456" s="15" t="s">
        <v>1005</v>
      </c>
      <c r="R456" s="15" t="s">
        <v>32</v>
      </c>
      <c r="S456" s="15" t="s">
        <v>21</v>
      </c>
      <c r="T456" s="16">
        <v>1</v>
      </c>
      <c r="U456" s="17">
        <f t="shared" si="44"/>
        <v>404.27</v>
      </c>
    </row>
    <row r="457" ht="57.75" customHeight="1" spans="1:21">
      <c r="A457" s="14" t="s">
        <v>26</v>
      </c>
      <c r="B457" s="15" t="s">
        <v>1325</v>
      </c>
      <c r="C457" s="15" t="s">
        <v>28</v>
      </c>
      <c r="D457" s="15" t="s">
        <v>1326</v>
      </c>
      <c r="E457" s="15" t="s">
        <v>1327</v>
      </c>
      <c r="F457" s="16">
        <f t="shared" si="41"/>
        <v>2</v>
      </c>
      <c r="G457" s="15" t="s">
        <v>40</v>
      </c>
      <c r="H457" s="17">
        <v>493.73</v>
      </c>
      <c r="I457" s="17">
        <f t="shared" si="42"/>
        <v>445.097595</v>
      </c>
      <c r="J457" s="24">
        <f t="shared" si="45"/>
        <v>417.2625</v>
      </c>
      <c r="K457" s="25">
        <v>0.0985</v>
      </c>
      <c r="L457" s="26">
        <v>0.25</v>
      </c>
      <c r="M457" s="24">
        <v>556.35</v>
      </c>
      <c r="N457" s="27">
        <f t="shared" si="43"/>
        <v>1112.7</v>
      </c>
      <c r="O457" s="15"/>
      <c r="P457" s="15" t="s">
        <v>1004</v>
      </c>
      <c r="Q457" s="15" t="s">
        <v>1005</v>
      </c>
      <c r="R457" s="15" t="s">
        <v>32</v>
      </c>
      <c r="S457" s="15" t="s">
        <v>21</v>
      </c>
      <c r="T457" s="16">
        <v>2</v>
      </c>
      <c r="U457" s="17">
        <f t="shared" si="44"/>
        <v>1112.7</v>
      </c>
    </row>
    <row r="458" ht="58.5" customHeight="1" spans="1:21">
      <c r="A458" s="14" t="s">
        <v>26</v>
      </c>
      <c r="B458" s="15" t="s">
        <v>1328</v>
      </c>
      <c r="C458" s="15" t="s">
        <v>28</v>
      </c>
      <c r="D458" s="15" t="s">
        <v>1329</v>
      </c>
      <c r="E458" s="15" t="s">
        <v>1330</v>
      </c>
      <c r="F458" s="16">
        <f t="shared" si="41"/>
        <v>3</v>
      </c>
      <c r="G458" s="15" t="s">
        <v>40</v>
      </c>
      <c r="H458" s="17">
        <v>517.76</v>
      </c>
      <c r="I458" s="17">
        <f t="shared" si="42"/>
        <v>466.76064</v>
      </c>
      <c r="J458" s="24">
        <f t="shared" si="45"/>
        <v>437.5875</v>
      </c>
      <c r="K458" s="25">
        <v>0.0985</v>
      </c>
      <c r="L458" s="26">
        <v>0.25</v>
      </c>
      <c r="M458" s="24">
        <f>ROUND(I458,2)+(ROUND(I458,2)*L458)</f>
        <v>583.45</v>
      </c>
      <c r="N458" s="27">
        <f t="shared" si="43"/>
        <v>1750.35</v>
      </c>
      <c r="O458" s="15"/>
      <c r="P458" s="15" t="s">
        <v>1004</v>
      </c>
      <c r="Q458" s="15" t="s">
        <v>1005</v>
      </c>
      <c r="R458" s="15" t="s">
        <v>32</v>
      </c>
      <c r="S458" s="15" t="s">
        <v>21</v>
      </c>
      <c r="T458" s="16">
        <v>3</v>
      </c>
      <c r="U458" s="17">
        <f t="shared" si="44"/>
        <v>1750.35</v>
      </c>
    </row>
    <row r="459" ht="45" customHeight="1" spans="1:21">
      <c r="A459" s="14" t="s">
        <v>26</v>
      </c>
      <c r="B459" s="15" t="s">
        <v>1331</v>
      </c>
      <c r="C459" s="15" t="s">
        <v>28</v>
      </c>
      <c r="D459" s="15" t="s">
        <v>1332</v>
      </c>
      <c r="E459" s="15" t="s">
        <v>1333</v>
      </c>
      <c r="F459" s="16">
        <f t="shared" si="41"/>
        <v>1</v>
      </c>
      <c r="G459" s="15" t="s">
        <v>40</v>
      </c>
      <c r="H459" s="17">
        <v>152.73</v>
      </c>
      <c r="I459" s="17">
        <f t="shared" si="42"/>
        <v>137.686095</v>
      </c>
      <c r="J459" s="24">
        <f t="shared" si="45"/>
        <v>129.06</v>
      </c>
      <c r="K459" s="25">
        <v>0.0985</v>
      </c>
      <c r="L459" s="26">
        <v>0.25</v>
      </c>
      <c r="M459" s="24">
        <v>172.08</v>
      </c>
      <c r="N459" s="27">
        <f t="shared" si="43"/>
        <v>172.08</v>
      </c>
      <c r="O459" s="15"/>
      <c r="P459" s="15" t="s">
        <v>1004</v>
      </c>
      <c r="Q459" s="15" t="s">
        <v>1005</v>
      </c>
      <c r="R459" s="15" t="s">
        <v>32</v>
      </c>
      <c r="S459" s="15" t="s">
        <v>21</v>
      </c>
      <c r="T459" s="16">
        <v>1</v>
      </c>
      <c r="U459" s="17">
        <f t="shared" si="44"/>
        <v>172.08</v>
      </c>
    </row>
    <row r="460" ht="45" customHeight="1" spans="1:21">
      <c r="A460" s="14" t="s">
        <v>26</v>
      </c>
      <c r="B460" s="15" t="s">
        <v>1334</v>
      </c>
      <c r="C460" s="15" t="s">
        <v>28</v>
      </c>
      <c r="D460" s="15" t="s">
        <v>1335</v>
      </c>
      <c r="E460" s="15" t="s">
        <v>1336</v>
      </c>
      <c r="F460" s="16">
        <f t="shared" si="41"/>
        <v>4</v>
      </c>
      <c r="G460" s="15" t="s">
        <v>40</v>
      </c>
      <c r="H460" s="17">
        <v>19.44</v>
      </c>
      <c r="I460" s="17">
        <f t="shared" si="42"/>
        <v>17.513496</v>
      </c>
      <c r="J460" s="24">
        <f t="shared" si="45"/>
        <v>16.415625</v>
      </c>
      <c r="K460" s="25">
        <v>0.0991</v>
      </c>
      <c r="L460" s="26">
        <v>0.25</v>
      </c>
      <c r="M460" s="24">
        <f>ROUND(I460,2)+(ROUND(I460,2)*L460)</f>
        <v>21.8875</v>
      </c>
      <c r="N460" s="27">
        <f t="shared" si="43"/>
        <v>87.56</v>
      </c>
      <c r="O460" s="15"/>
      <c r="P460" s="15" t="s">
        <v>1004</v>
      </c>
      <c r="Q460" s="15" t="s">
        <v>1005</v>
      </c>
      <c r="R460" s="15" t="s">
        <v>32</v>
      </c>
      <c r="S460" s="15" t="s">
        <v>21</v>
      </c>
      <c r="T460" s="16">
        <v>4</v>
      </c>
      <c r="U460" s="17">
        <f t="shared" si="44"/>
        <v>87.56</v>
      </c>
    </row>
    <row r="461" ht="58.5" customHeight="1" spans="1:21">
      <c r="A461" s="14" t="s">
        <v>26</v>
      </c>
      <c r="B461" s="15" t="s">
        <v>1337</v>
      </c>
      <c r="C461" s="15" t="s">
        <v>28</v>
      </c>
      <c r="D461" s="15" t="s">
        <v>1338</v>
      </c>
      <c r="E461" s="15" t="s">
        <v>1339</v>
      </c>
      <c r="F461" s="16">
        <f t="shared" si="41"/>
        <v>154.9</v>
      </c>
      <c r="G461" s="15" t="s">
        <v>48</v>
      </c>
      <c r="H461" s="17">
        <v>42.64</v>
      </c>
      <c r="I461" s="17">
        <f t="shared" si="42"/>
        <v>38.43996</v>
      </c>
      <c r="J461" s="24">
        <f t="shared" si="45"/>
        <v>36.03</v>
      </c>
      <c r="K461" s="25">
        <v>0.0985</v>
      </c>
      <c r="L461" s="26">
        <v>0.25</v>
      </c>
      <c r="M461" s="24">
        <v>48.04</v>
      </c>
      <c r="N461" s="27">
        <f t="shared" si="43"/>
        <v>7441.4</v>
      </c>
      <c r="O461" s="15"/>
      <c r="P461" s="15" t="s">
        <v>1150</v>
      </c>
      <c r="Q461" s="15" t="s">
        <v>1151</v>
      </c>
      <c r="R461" s="15" t="s">
        <v>32</v>
      </c>
      <c r="S461" s="15" t="s">
        <v>21</v>
      </c>
      <c r="T461" s="16">
        <v>154.9</v>
      </c>
      <c r="U461" s="17">
        <f t="shared" si="44"/>
        <v>7441.396</v>
      </c>
    </row>
    <row r="462" ht="52.5" customHeight="1" spans="1:21">
      <c r="A462" s="14" t="s">
        <v>26</v>
      </c>
      <c r="B462" s="15" t="s">
        <v>1340</v>
      </c>
      <c r="C462" s="15" t="s">
        <v>28</v>
      </c>
      <c r="D462" s="15" t="s">
        <v>1341</v>
      </c>
      <c r="E462" s="15" t="s">
        <v>1342</v>
      </c>
      <c r="F462" s="16">
        <f t="shared" si="41"/>
        <v>138</v>
      </c>
      <c r="G462" s="15" t="s">
        <v>40</v>
      </c>
      <c r="H462" s="17">
        <v>10.66</v>
      </c>
      <c r="I462" s="17">
        <f t="shared" si="42"/>
        <v>9.60999</v>
      </c>
      <c r="J462" s="24">
        <f t="shared" si="45"/>
        <v>9.009375</v>
      </c>
      <c r="K462" s="25">
        <v>0.0985</v>
      </c>
      <c r="L462" s="26">
        <v>0.25</v>
      </c>
      <c r="M462" s="24">
        <f>ROUND(I462,2)+(ROUND(I462,2)*L462)</f>
        <v>12.0125</v>
      </c>
      <c r="N462" s="27">
        <f t="shared" si="43"/>
        <v>1657.38</v>
      </c>
      <c r="O462" s="15"/>
      <c r="P462" s="15" t="s">
        <v>1150</v>
      </c>
      <c r="Q462" s="15" t="s">
        <v>1151</v>
      </c>
      <c r="R462" s="15" t="s">
        <v>32</v>
      </c>
      <c r="S462" s="15" t="s">
        <v>21</v>
      </c>
      <c r="T462" s="16">
        <v>138</v>
      </c>
      <c r="U462" s="17">
        <f t="shared" si="44"/>
        <v>1657.38</v>
      </c>
    </row>
    <row r="463" ht="45" customHeight="1" spans="1:21">
      <c r="A463" s="30" t="s">
        <v>20</v>
      </c>
      <c r="B463" s="31" t="s">
        <v>20</v>
      </c>
      <c r="C463" s="31" t="s">
        <v>20</v>
      </c>
      <c r="D463" s="31" t="s">
        <v>20</v>
      </c>
      <c r="E463" s="31" t="s">
        <v>20</v>
      </c>
      <c r="F463" s="31" t="s">
        <v>20</v>
      </c>
      <c r="G463" s="31" t="s">
        <v>20</v>
      </c>
      <c r="H463" s="31" t="s">
        <v>20</v>
      </c>
      <c r="I463" s="31" t="s">
        <v>20</v>
      </c>
      <c r="J463" s="32" t="s">
        <v>20</v>
      </c>
      <c r="K463" s="33"/>
      <c r="L463" s="31" t="s">
        <v>20</v>
      </c>
      <c r="M463" s="32" t="s">
        <v>20</v>
      </c>
      <c r="N463" s="31" t="s">
        <v>20</v>
      </c>
      <c r="O463" s="31" t="s">
        <v>20</v>
      </c>
      <c r="P463" s="31" t="s">
        <v>20</v>
      </c>
      <c r="Q463" s="31" t="s">
        <v>20</v>
      </c>
      <c r="R463" s="31" t="s">
        <v>20</v>
      </c>
      <c r="S463" s="31" t="s">
        <v>20</v>
      </c>
      <c r="T463" s="31" t="s">
        <v>1343</v>
      </c>
      <c r="U463" s="36">
        <f>N2</f>
        <v>2889743.59</v>
      </c>
    </row>
    <row r="464" ht="1.5" customHeight="1" spans="1:21">
      <c r="A464" s="30" t="s">
        <v>20</v>
      </c>
      <c r="B464" s="30" t="s">
        <v>20</v>
      </c>
      <c r="C464" s="30" t="s">
        <v>20</v>
      </c>
      <c r="D464" s="30" t="s">
        <v>20</v>
      </c>
      <c r="E464" s="30" t="s">
        <v>20</v>
      </c>
      <c r="F464" s="30" t="s">
        <v>20</v>
      </c>
      <c r="G464" s="30" t="s">
        <v>20</v>
      </c>
      <c r="H464" s="30" t="s">
        <v>20</v>
      </c>
      <c r="I464" s="30" t="s">
        <v>20</v>
      </c>
      <c r="J464" s="34" t="s">
        <v>20</v>
      </c>
      <c r="K464" s="35"/>
      <c r="L464" s="30" t="s">
        <v>20</v>
      </c>
      <c r="M464" s="34" t="s">
        <v>20</v>
      </c>
      <c r="N464" s="30" t="s">
        <v>20</v>
      </c>
      <c r="O464" s="30" t="s">
        <v>20</v>
      </c>
      <c r="P464" s="30" t="s">
        <v>20</v>
      </c>
      <c r="Q464" s="30" t="s">
        <v>20</v>
      </c>
      <c r="R464" s="30" t="s">
        <v>20</v>
      </c>
      <c r="S464" s="30" t="s">
        <v>20</v>
      </c>
      <c r="T464" s="30" t="s">
        <v>1344</v>
      </c>
      <c r="U464" s="37">
        <f>ROUND(3205310.99,2)-ROUND(U463,2)</f>
        <v>315567.4</v>
      </c>
    </row>
  </sheetData>
  <mergeCells count="16">
    <mergeCell ref="A11:A21"/>
    <mergeCell ref="B11:B21"/>
    <mergeCell ref="C11:C21"/>
    <mergeCell ref="D11:D21"/>
    <mergeCell ref="E11:E21"/>
    <mergeCell ref="F11:F21"/>
    <mergeCell ref="G11:G21"/>
    <mergeCell ref="H11:H21"/>
    <mergeCell ref="I11:I21"/>
    <mergeCell ref="J11:J21"/>
    <mergeCell ref="L11:L21"/>
    <mergeCell ref="M11:M21"/>
    <mergeCell ref="N11:N21"/>
    <mergeCell ref="O11:O21"/>
    <mergeCell ref="P11:P21"/>
    <mergeCell ref="Q11:Q21"/>
  </mergeCells>
  <pageMargins left="0.25" right="0.25" top="0.75" bottom="0.75" header="0.3" footer="0.3"/>
  <pageSetup paperSize="9" scale="37" fitToHeight="0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E35"/>
  <sheetViews>
    <sheetView topLeftCell="A19" workbookViewId="0">
      <selection activeCell="D4" sqref="D4"/>
    </sheetView>
  </sheetViews>
  <sheetFormatPr defaultColWidth="9" defaultRowHeight="14.4" outlineLevelCol="4"/>
  <cols>
    <col min="1" max="1" width="15" customWidth="1"/>
    <col min="2" max="2" width="50" customWidth="1"/>
    <col min="3" max="3" width="20" customWidth="1"/>
    <col min="4" max="4" width="50" customWidth="1"/>
    <col min="5" max="5" width="35" customWidth="1"/>
  </cols>
  <sheetData>
    <row r="1" spans="1:5">
      <c r="A1" s="1" t="s">
        <v>1345</v>
      </c>
      <c r="B1" s="1" t="s">
        <v>1346</v>
      </c>
      <c r="C1" s="1" t="s">
        <v>1347</v>
      </c>
      <c r="D1" s="1" t="s">
        <v>16</v>
      </c>
      <c r="E1" s="2" t="s">
        <v>1348</v>
      </c>
    </row>
    <row r="2" ht="45" customHeight="1" spans="1:5">
      <c r="A2" s="3" t="s">
        <v>32</v>
      </c>
      <c r="B2" s="3" t="s">
        <v>33</v>
      </c>
      <c r="C2" s="3" t="s">
        <v>32</v>
      </c>
      <c r="D2" s="3" t="s">
        <v>21</v>
      </c>
      <c r="E2" s="3" t="s">
        <v>32</v>
      </c>
    </row>
    <row r="3" ht="45" customHeight="1" spans="3:5">
      <c r="C3" s="3" t="s">
        <v>62</v>
      </c>
      <c r="D3" s="3" t="s">
        <v>63</v>
      </c>
      <c r="E3" s="3" t="s">
        <v>62</v>
      </c>
    </row>
    <row r="4" ht="45" customHeight="1" spans="3:5">
      <c r="C4" s="3" t="s">
        <v>64</v>
      </c>
      <c r="D4" s="3" t="s">
        <v>65</v>
      </c>
      <c r="E4" s="3" t="s">
        <v>64</v>
      </c>
    </row>
    <row r="5" ht="45" customHeight="1" spans="3:5">
      <c r="C5" s="3" t="s">
        <v>66</v>
      </c>
      <c r="D5" s="3" t="s">
        <v>67</v>
      </c>
      <c r="E5" s="3" t="s">
        <v>66</v>
      </c>
    </row>
    <row r="6" ht="45" customHeight="1" spans="3:5">
      <c r="C6" s="3" t="s">
        <v>68</v>
      </c>
      <c r="D6" s="3" t="s">
        <v>69</v>
      </c>
      <c r="E6" s="3" t="s">
        <v>68</v>
      </c>
    </row>
    <row r="7" ht="45" customHeight="1" spans="3:5">
      <c r="C7" s="3" t="s">
        <v>70</v>
      </c>
      <c r="D7" s="3" t="s">
        <v>71</v>
      </c>
      <c r="E7" s="3" t="s">
        <v>70</v>
      </c>
    </row>
    <row r="8" ht="45" customHeight="1" spans="3:5">
      <c r="C8" s="3" t="s">
        <v>72</v>
      </c>
      <c r="D8" s="3" t="s">
        <v>73</v>
      </c>
      <c r="E8" s="3" t="s">
        <v>72</v>
      </c>
    </row>
    <row r="9" ht="45" customHeight="1" spans="3:5">
      <c r="C9" s="3" t="s">
        <v>74</v>
      </c>
      <c r="D9" s="3" t="s">
        <v>75</v>
      </c>
      <c r="E9" s="3" t="s">
        <v>74</v>
      </c>
    </row>
    <row r="10" ht="32.25" customHeight="1" spans="3:5">
      <c r="C10" s="3" t="s">
        <v>76</v>
      </c>
      <c r="D10" s="3" t="s">
        <v>77</v>
      </c>
      <c r="E10" s="3" t="s">
        <v>76</v>
      </c>
    </row>
    <row r="11" ht="33.75" customHeight="1" spans="3:5">
      <c r="C11" s="3" t="s">
        <v>78</v>
      </c>
      <c r="D11" s="3" t="s">
        <v>79</v>
      </c>
      <c r="E11" s="3" t="s">
        <v>78</v>
      </c>
    </row>
    <row r="12" ht="31.5" customHeight="1" spans="3:5">
      <c r="C12" s="3" t="s">
        <v>80</v>
      </c>
      <c r="D12" s="3" t="s">
        <v>81</v>
      </c>
      <c r="E12" s="3" t="s">
        <v>80</v>
      </c>
    </row>
    <row r="13" ht="36" customHeight="1" spans="1:5">
      <c r="A13" s="3" t="s">
        <v>62</v>
      </c>
      <c r="B13" s="3" t="s">
        <v>85</v>
      </c>
      <c r="C13" s="3" t="s">
        <v>32</v>
      </c>
      <c r="D13" s="3" t="s">
        <v>21</v>
      </c>
      <c r="E13" s="3" t="s">
        <v>32</v>
      </c>
    </row>
    <row r="14" ht="36.75" customHeight="1" spans="1:5">
      <c r="A14" s="3" t="s">
        <v>64</v>
      </c>
      <c r="B14" s="3" t="s">
        <v>108</v>
      </c>
      <c r="C14" s="3" t="s">
        <v>32</v>
      </c>
      <c r="D14" s="3" t="s">
        <v>21</v>
      </c>
      <c r="E14" s="3" t="s">
        <v>32</v>
      </c>
    </row>
    <row r="15" ht="30.75" customHeight="1" spans="1:5">
      <c r="A15" s="3" t="s">
        <v>66</v>
      </c>
      <c r="B15" s="3" t="s">
        <v>180</v>
      </c>
      <c r="C15" s="3" t="s">
        <v>32</v>
      </c>
      <c r="D15" s="3" t="s">
        <v>21</v>
      </c>
      <c r="E15" s="3" t="s">
        <v>62</v>
      </c>
    </row>
    <row r="16" ht="30" customHeight="1" spans="1:5">
      <c r="A16" s="3" t="s">
        <v>68</v>
      </c>
      <c r="B16" s="3" t="s">
        <v>239</v>
      </c>
      <c r="C16" s="3" t="s">
        <v>32</v>
      </c>
      <c r="D16" s="3" t="s">
        <v>21</v>
      </c>
      <c r="E16" s="3" t="s">
        <v>64</v>
      </c>
    </row>
    <row r="17" ht="34.5" customHeight="1" spans="1:5">
      <c r="A17" s="3" t="s">
        <v>70</v>
      </c>
      <c r="B17" s="3" t="s">
        <v>268</v>
      </c>
      <c r="C17" s="3" t="s">
        <v>32</v>
      </c>
      <c r="D17" s="3" t="s">
        <v>21</v>
      </c>
      <c r="E17" s="3" t="s">
        <v>66</v>
      </c>
    </row>
    <row r="18" ht="45" customHeight="1" spans="1:5">
      <c r="A18" s="3" t="s">
        <v>72</v>
      </c>
      <c r="B18" s="3" t="s">
        <v>383</v>
      </c>
      <c r="C18" s="3" t="s">
        <v>32</v>
      </c>
      <c r="D18" s="3" t="s">
        <v>21</v>
      </c>
      <c r="E18" s="3" t="s">
        <v>68</v>
      </c>
    </row>
    <row r="19" ht="45" customHeight="1" spans="1:5">
      <c r="A19" s="3" t="s">
        <v>74</v>
      </c>
      <c r="B19" s="3" t="s">
        <v>402</v>
      </c>
      <c r="C19" s="3" t="s">
        <v>32</v>
      </c>
      <c r="D19" s="3" t="s">
        <v>21</v>
      </c>
      <c r="E19" s="3" t="s">
        <v>68</v>
      </c>
    </row>
    <row r="20" ht="45" customHeight="1" spans="1:5">
      <c r="A20" s="3" t="s">
        <v>78</v>
      </c>
      <c r="B20" s="3" t="s">
        <v>409</v>
      </c>
      <c r="C20" s="3" t="s">
        <v>32</v>
      </c>
      <c r="D20" s="3" t="s">
        <v>21</v>
      </c>
      <c r="E20" s="3" t="s">
        <v>72</v>
      </c>
    </row>
    <row r="21" ht="45" customHeight="1" spans="1:5">
      <c r="A21" s="3" t="s">
        <v>76</v>
      </c>
      <c r="B21" s="3" t="s">
        <v>413</v>
      </c>
      <c r="C21" s="3" t="s">
        <v>32</v>
      </c>
      <c r="D21" s="3" t="s">
        <v>21</v>
      </c>
      <c r="E21" s="3" t="s">
        <v>70</v>
      </c>
    </row>
    <row r="22" ht="45" customHeight="1" spans="1:5">
      <c r="A22" s="3" t="s">
        <v>80</v>
      </c>
      <c r="B22" s="3" t="s">
        <v>506</v>
      </c>
      <c r="C22" s="3" t="s">
        <v>32</v>
      </c>
      <c r="D22" s="3" t="s">
        <v>21</v>
      </c>
      <c r="E22" s="3" t="s">
        <v>74</v>
      </c>
    </row>
    <row r="23" ht="45" customHeight="1" spans="1:5">
      <c r="A23" s="3" t="s">
        <v>540</v>
      </c>
      <c r="B23" s="3" t="s">
        <v>541</v>
      </c>
      <c r="C23" s="3" t="s">
        <v>32</v>
      </c>
      <c r="D23" s="3" t="s">
        <v>21</v>
      </c>
      <c r="E23" s="3" t="s">
        <v>76</v>
      </c>
    </row>
    <row r="24" ht="45" customHeight="1" spans="1:5">
      <c r="A24" s="3" t="s">
        <v>683</v>
      </c>
      <c r="B24" s="3" t="s">
        <v>684</v>
      </c>
      <c r="C24" s="3" t="s">
        <v>32</v>
      </c>
      <c r="D24" s="3" t="s">
        <v>21</v>
      </c>
      <c r="E24" s="3" t="s">
        <v>76</v>
      </c>
    </row>
    <row r="25" ht="45" customHeight="1" spans="1:5">
      <c r="A25" s="3" t="s">
        <v>706</v>
      </c>
      <c r="B25" s="3" t="s">
        <v>707</v>
      </c>
      <c r="C25" s="3" t="s">
        <v>32</v>
      </c>
      <c r="D25" s="3" t="s">
        <v>21</v>
      </c>
      <c r="E25" s="3" t="s">
        <v>76</v>
      </c>
    </row>
    <row r="26" ht="45" customHeight="1" spans="1:5">
      <c r="A26" s="3" t="s">
        <v>802</v>
      </c>
      <c r="B26" s="3" t="s">
        <v>803</v>
      </c>
      <c r="C26" s="3" t="s">
        <v>32</v>
      </c>
      <c r="D26" s="3" t="s">
        <v>21</v>
      </c>
      <c r="E26" s="3" t="s">
        <v>76</v>
      </c>
    </row>
    <row r="27" ht="45" customHeight="1" spans="1:5">
      <c r="A27" s="3" t="s">
        <v>903</v>
      </c>
      <c r="B27" s="3" t="s">
        <v>904</v>
      </c>
      <c r="C27" s="3" t="s">
        <v>32</v>
      </c>
      <c r="D27" s="3" t="s">
        <v>21</v>
      </c>
      <c r="E27" s="3" t="s">
        <v>76</v>
      </c>
    </row>
    <row r="28" ht="45" customHeight="1" spans="1:5">
      <c r="A28" s="3" t="s">
        <v>944</v>
      </c>
      <c r="B28" s="3" t="s">
        <v>945</v>
      </c>
      <c r="C28" s="3" t="s">
        <v>32</v>
      </c>
      <c r="D28" s="3" t="s">
        <v>21</v>
      </c>
      <c r="E28" s="3" t="s">
        <v>78</v>
      </c>
    </row>
    <row r="29" ht="45" customHeight="1" spans="1:5">
      <c r="A29" s="3" t="s">
        <v>1004</v>
      </c>
      <c r="B29" s="3" t="s">
        <v>1005</v>
      </c>
      <c r="C29" s="3" t="s">
        <v>32</v>
      </c>
      <c r="D29" s="3" t="s">
        <v>21</v>
      </c>
      <c r="E29" s="3" t="s">
        <v>78</v>
      </c>
    </row>
    <row r="30" ht="45" customHeight="1" spans="1:5">
      <c r="A30" s="3" t="s">
        <v>1150</v>
      </c>
      <c r="B30" s="3" t="s">
        <v>1151</v>
      </c>
      <c r="C30" s="3" t="s">
        <v>32</v>
      </c>
      <c r="D30" s="3" t="s">
        <v>21</v>
      </c>
      <c r="E30" s="3" t="s">
        <v>80</v>
      </c>
    </row>
    <row r="31" ht="45" customHeight="1" spans="1:5">
      <c r="A31" s="3" t="s">
        <v>1170</v>
      </c>
      <c r="B31" s="3" t="s">
        <v>1171</v>
      </c>
      <c r="C31" s="3" t="s">
        <v>32</v>
      </c>
      <c r="D31" s="3" t="s">
        <v>21</v>
      </c>
      <c r="E31" s="3" t="s">
        <v>80</v>
      </c>
    </row>
    <row r="32" ht="45" customHeight="1" spans="1:5">
      <c r="A32" s="3" t="s">
        <v>1228</v>
      </c>
      <c r="B32" s="3" t="s">
        <v>1229</v>
      </c>
      <c r="C32" s="3" t="s">
        <v>32</v>
      </c>
      <c r="D32" s="3" t="s">
        <v>21</v>
      </c>
      <c r="E32" s="3" t="s">
        <v>80</v>
      </c>
    </row>
    <row r="33" ht="45" customHeight="1" spans="1:5">
      <c r="A33" s="3" t="s">
        <v>1236</v>
      </c>
      <c r="B33" s="3" t="s">
        <v>1237</v>
      </c>
      <c r="C33" s="3" t="s">
        <v>32</v>
      </c>
      <c r="D33" s="3" t="s">
        <v>21</v>
      </c>
      <c r="E33" s="3" t="s">
        <v>80</v>
      </c>
    </row>
    <row r="34" ht="45" customHeight="1" spans="1:5">
      <c r="A34" s="3" t="s">
        <v>1281</v>
      </c>
      <c r="B34" s="3" t="s">
        <v>1282</v>
      </c>
      <c r="C34" s="3" t="s">
        <v>32</v>
      </c>
      <c r="D34" s="3" t="s">
        <v>21</v>
      </c>
      <c r="E34" s="3" t="s">
        <v>80</v>
      </c>
    </row>
    <row r="35" ht="45" customHeight="1" spans="1:5">
      <c r="A35" s="3" t="s">
        <v>1310</v>
      </c>
      <c r="B35" s="3" t="s">
        <v>1311</v>
      </c>
      <c r="C35" s="3" t="s">
        <v>32</v>
      </c>
      <c r="D35" s="3" t="s">
        <v>21</v>
      </c>
      <c r="E35" s="3" t="s">
        <v>80</v>
      </c>
    </row>
  </sheetData>
  <mergeCells count="2">
    <mergeCell ref="A2:A12"/>
    <mergeCell ref="B2:B12"/>
  </mergeCells>
  <pageMargins left="0.7" right="0.7" top="0.75" bottom="0.75" header="0.3" footer="0.3"/>
  <pageSetup paperSize="9" scale="51" fitToHeight="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PO-PLE</vt:lpstr>
      <vt:lpstr>CFF - PLE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Ruan</cp:lastModifiedBy>
  <dcterms:created xsi:type="dcterms:W3CDTF">2025-06-20T14:25:00Z</dcterms:created>
  <cp:lastPrinted>2025-08-07T12:37:00Z</cp:lastPrinted>
  <dcterms:modified xsi:type="dcterms:W3CDTF">2025-11-10T22:02:54Z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B2E05C56DE5145C7AB1068D6DEFAB743_12</vt:lpwstr>
  </property>
  <property fmtid="{D5CDD505-2E9C-101B-9397-08002B2CF9AE}" pid="3" name="KSOProductBuildVer">
    <vt:lpwstr>1046-12.2.0.23155</vt:lpwstr>
  </property>
</Properties>
</file>